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6920" firstSheet="28" activeTab="30"/>
  </bookViews>
  <sheets>
    <sheet name="VLOOKUP_data" sheetId="1" r:id="rId1"/>
    <sheet name="HLOOKUP_data" sheetId="2" r:id="rId2"/>
    <sheet name="XLOOKUP_data" sheetId="3" r:id="rId3"/>
    <sheet name="INDEX_MATCH_data" sheetId="4" r:id="rId4"/>
    <sheet name="IF_data" sheetId="5" r:id="rId5"/>
    <sheet name="SUMIF-data" sheetId="6" r:id="rId6"/>
    <sheet name="SUMIFS_data" sheetId="7" r:id="rId7"/>
    <sheet name="COUNTIF_data" sheetId="8" r:id="rId8"/>
    <sheet name="COUNTIFS_data" sheetId="9" r:id="rId9"/>
    <sheet name="AVERAGEIF_data" sheetId="10" r:id="rId10"/>
    <sheet name="AVERAGEIFS_data" sheetId="11" r:id="rId11"/>
    <sheet name="FILTER_data" sheetId="12" r:id="rId12"/>
    <sheet name="TRIM_data" sheetId="13" r:id="rId13"/>
    <sheet name="UPPER_LOWER_PROPER_data" sheetId="14" r:id="rId14"/>
    <sheet name="AND_data" sheetId="15" r:id="rId15"/>
    <sheet name="OR_data" sheetId="16" r:id="rId16"/>
    <sheet name="NOW_TODAY_DAY_MONTH_YEAR_data" sheetId="17" r:id="rId17"/>
    <sheet name="REMOVE_DUBLICATES_data" sheetId="18" r:id="rId18"/>
    <sheet name="TEXT_TO_COLUMNS_data" sheetId="19" r:id="rId19"/>
    <sheet name="FLASH_FILL_data" sheetId="20" r:id="rId20"/>
    <sheet name="UNIQUE_FILTER_data" sheetId="21" r:id="rId21"/>
    <sheet name="PIVOT_TABLE_data" sheetId="22" r:id="rId22"/>
    <sheet name="GROUPING_data" sheetId="23" r:id="rId23"/>
    <sheet name="SLICER_data" sheetId="24" r:id="rId24"/>
    <sheet name="DRAG_AND_DROP_data" sheetId="25" r:id="rId25"/>
    <sheet name="SHOW_VALUES_data" sheetId="26" r:id="rId26"/>
    <sheet name="COLUMN_AND_PIE_CHART_data" sheetId="27" r:id="rId27"/>
    <sheet name="LINE_AND_BAR_CHART" sheetId="28" r:id="rId28"/>
    <sheet name="SCATTER_AND_CAMBO_CHART_data" sheetId="29" r:id="rId29"/>
    <sheet name="Sheet1" sheetId="30" r:id="rId30"/>
    <sheet name="CONDITIONAL_FORMATING_data" sheetId="31" r:id="rId31"/>
  </sheets>
  <definedNames>
    <definedName name="Slicer_STATE">#N/A</definedName>
  </definedNames>
  <calcPr calcId="191029"/>
  <pivotCaches>
    <pivotCache cacheId="0" r:id="rId32"/>
    <pivotCache cacheId="1" r:id="rId33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3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<sst xmlns="http://schemas.openxmlformats.org/spreadsheetml/2006/main" count="831" uniqueCount="166">
  <si>
    <t>PRODUCT ANME</t>
  </si>
  <si>
    <t>CATEGORY</t>
  </si>
  <si>
    <t>QTY</t>
  </si>
  <si>
    <t>PRICRE</t>
  </si>
  <si>
    <t>CITY</t>
  </si>
  <si>
    <t>Laptop</t>
  </si>
  <si>
    <t>Electronics</t>
  </si>
  <si>
    <t>Kanpur</t>
  </si>
  <si>
    <t>PRODUCT</t>
  </si>
  <si>
    <t>PRICE</t>
  </si>
  <si>
    <t>Mobile</t>
  </si>
  <si>
    <t>Fatehpur</t>
  </si>
  <si>
    <t>Lakhani</t>
  </si>
  <si>
    <t>Zara</t>
  </si>
  <si>
    <t>Clothes</t>
  </si>
  <si>
    <t>Gurugram</t>
  </si>
  <si>
    <t>Shoes</t>
  </si>
  <si>
    <t>Delhi</t>
  </si>
  <si>
    <t>Iphone</t>
  </si>
  <si>
    <t>Noida</t>
  </si>
  <si>
    <t>Dell</t>
  </si>
  <si>
    <t>Virat</t>
  </si>
  <si>
    <t>Player</t>
  </si>
  <si>
    <t>Mumbai</t>
  </si>
  <si>
    <t>ID</t>
  </si>
  <si>
    <t>COMPANY</t>
  </si>
  <si>
    <t>ITEM</t>
  </si>
  <si>
    <t>RATE</t>
  </si>
  <si>
    <t>TOTAL</t>
  </si>
  <si>
    <t>Samsung</t>
  </si>
  <si>
    <t>Keyboard</t>
  </si>
  <si>
    <t>Intel</t>
  </si>
  <si>
    <t>Mouse</t>
  </si>
  <si>
    <t>Cpu</t>
  </si>
  <si>
    <t>Hp</t>
  </si>
  <si>
    <t>Monitor</t>
  </si>
  <si>
    <t>STUDENT</t>
  </si>
  <si>
    <t>MARKS</t>
  </si>
  <si>
    <t>PASS/FAIL</t>
  </si>
  <si>
    <t>GRADE</t>
  </si>
  <si>
    <t>ATTENDENCE</t>
  </si>
  <si>
    <t>STATUS</t>
  </si>
  <si>
    <t xml:space="preserve">Ravi </t>
  </si>
  <si>
    <t>Puja</t>
  </si>
  <si>
    <t>Amit</t>
  </si>
  <si>
    <t>Neha</t>
  </si>
  <si>
    <t>Aryan</t>
  </si>
  <si>
    <t>Achal</t>
  </si>
  <si>
    <t>Rana</t>
  </si>
  <si>
    <t>S.N</t>
  </si>
  <si>
    <t>REGION</t>
  </si>
  <si>
    <t>JAN SALARY</t>
  </si>
  <si>
    <t>FEB SALARY</t>
  </si>
  <si>
    <t>MARCH SALARY</t>
  </si>
  <si>
    <t>Ajit</t>
  </si>
  <si>
    <t>East</t>
  </si>
  <si>
    <t>Harsh</t>
  </si>
  <si>
    <t>Memory</t>
  </si>
  <si>
    <t>Raghav</t>
  </si>
  <si>
    <t>West</t>
  </si>
  <si>
    <t>Printer</t>
  </si>
  <si>
    <t>Pooja</t>
  </si>
  <si>
    <t>Mohan</t>
  </si>
  <si>
    <t>North</t>
  </si>
  <si>
    <t>Asha</t>
  </si>
  <si>
    <t>Key</t>
  </si>
  <si>
    <t>South</t>
  </si>
  <si>
    <t>Parul</t>
  </si>
  <si>
    <t>IDEA</t>
  </si>
  <si>
    <t>COMPANY NAME</t>
  </si>
  <si>
    <t>ITEM NAME</t>
  </si>
  <si>
    <t>Acer</t>
  </si>
  <si>
    <t>Lg</t>
  </si>
  <si>
    <t>Tv</t>
  </si>
  <si>
    <t>SALES</t>
  </si>
  <si>
    <t>UNIT</t>
  </si>
  <si>
    <t>Gh</t>
  </si>
  <si>
    <t>Apple</t>
  </si>
  <si>
    <t>bu</t>
  </si>
  <si>
    <t>Orange</t>
  </si>
  <si>
    <t>Tt</t>
  </si>
  <si>
    <t>Pine</t>
  </si>
  <si>
    <t>Sa</t>
  </si>
  <si>
    <t>We</t>
  </si>
  <si>
    <t>Anaar</t>
  </si>
  <si>
    <t>Yt</t>
  </si>
  <si>
    <t>Dr</t>
  </si>
  <si>
    <t>Soya</t>
  </si>
  <si>
    <t>Kiwi</t>
  </si>
  <si>
    <t>Op</t>
  </si>
  <si>
    <t>Qa</t>
  </si>
  <si>
    <t>Sun</t>
  </si>
  <si>
    <t>Mn</t>
  </si>
  <si>
    <t>Aanar</t>
  </si>
  <si>
    <t>FIRST NAME</t>
  </si>
  <si>
    <t>PROPER NAME</t>
  </si>
  <si>
    <t xml:space="preserve">Sundram     rana   </t>
  </si>
  <si>
    <t>Aryan        singh</t>
  </si>
  <si>
    <t>Achal   singh</t>
  </si>
  <si>
    <t>Ram   kumar</t>
  </si>
  <si>
    <t>yash        pratap</t>
  </si>
  <si>
    <t>Prem  kumar</t>
  </si>
  <si>
    <t>FULL NAME</t>
  </si>
  <si>
    <t>UPPER</t>
  </si>
  <si>
    <t>LOWER</t>
  </si>
  <si>
    <t>PROPER</t>
  </si>
  <si>
    <t>JGfvhsTuYbnnWkj</t>
  </si>
  <si>
    <t>ghfFRDSHngYYuiGg</t>
  </si>
  <si>
    <t>guFFERhhgVGgggBGe</t>
  </si>
  <si>
    <t>fUThycGFddGFWQ</t>
  </si>
  <si>
    <t>NUMBER</t>
  </si>
  <si>
    <t>BOOLEAN</t>
  </si>
  <si>
    <t>NAME COLOUR</t>
  </si>
  <si>
    <t>Red</t>
  </si>
  <si>
    <t>black</t>
  </si>
  <si>
    <t>Yellow</t>
  </si>
  <si>
    <t>Pink</t>
  </si>
  <si>
    <t>Blue</t>
  </si>
  <si>
    <t>Sky</t>
  </si>
  <si>
    <t>NOW</t>
  </si>
  <si>
    <t>TODAY</t>
  </si>
  <si>
    <t>DAY</t>
  </si>
  <si>
    <t>MONTH</t>
  </si>
  <si>
    <t>YEAR</t>
  </si>
  <si>
    <t>NAME</t>
  </si>
  <si>
    <t>Aryan singh</t>
  </si>
  <si>
    <t>Arun bhai</t>
  </si>
  <si>
    <t>Vikash bhai</t>
  </si>
  <si>
    <t>Shivam bhai</t>
  </si>
  <si>
    <t>aditya singh</t>
  </si>
  <si>
    <t>Raj chandel</t>
  </si>
  <si>
    <t>Mayank bhai</t>
  </si>
  <si>
    <t>LAST</t>
  </si>
  <si>
    <t>DOB</t>
  </si>
  <si>
    <t>singh</t>
  </si>
  <si>
    <t>Arun</t>
  </si>
  <si>
    <t>bhai</t>
  </si>
  <si>
    <t>Vikash</t>
  </si>
  <si>
    <t>Shivam</t>
  </si>
  <si>
    <t>aditya</t>
  </si>
  <si>
    <t>Raj</t>
  </si>
  <si>
    <t>chandel</t>
  </si>
  <si>
    <t>Mayank</t>
  </si>
  <si>
    <t>adarsh</t>
  </si>
  <si>
    <t>Vikram</t>
  </si>
  <si>
    <t>adarsh singh</t>
  </si>
  <si>
    <t>Vikram bhai</t>
  </si>
  <si>
    <t>Speaker</t>
  </si>
  <si>
    <t>Lava</t>
  </si>
  <si>
    <t>SALESMAN</t>
  </si>
  <si>
    <t>DEPARTMENT</t>
  </si>
  <si>
    <t>STATE</t>
  </si>
  <si>
    <t>Up</t>
  </si>
  <si>
    <t>Shirts</t>
  </si>
  <si>
    <t>Aditya</t>
  </si>
  <si>
    <t>Bags</t>
  </si>
  <si>
    <t>Garments</t>
  </si>
  <si>
    <t>Punjab</t>
  </si>
  <si>
    <t>Jeans</t>
  </si>
  <si>
    <t>Adarsh</t>
  </si>
  <si>
    <t>Jaydeep</t>
  </si>
  <si>
    <t>Subhash</t>
  </si>
  <si>
    <t>Headphone</t>
  </si>
  <si>
    <t>Sum of SALES</t>
  </si>
  <si>
    <t>Mp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</si>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</sst>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distributed" vertical="top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NumberFormat="1">
      <alignment vertical="center"/>
    </xf>
    <xf numFmtId="0" fontId="0" fillId="0" borderId="10" xfId="0" applyBorder="1">
      <alignment vertical="center"/>
    </xf>
    <xf numFmtId="22" fontId="0" fillId="0" borderId="0" xfId="0" applyNumberFormat="1">
      <alignment vertical="center"/>
    </xf>
    <xf numFmtId="58" fontId="0" fillId="0" borderId="10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eetMetadata" Target="metadata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microsoft.com/office/2007/relationships/slicerCache" Target="slicerCaches/slicerCache1.xml"/><Relationship Id="rId33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COLUMN_AND_PIE_CHART_data!$B$1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COLUMN_AND_PIE_CHART_data!$C$1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77166"/>
        <c:axId val="606217709"/>
      </c:barChart>
      <c:catAx>
        <c:axId val="9131771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217709"/>
        <c:crosses val="autoZero"/>
        <c:auto val="1"/>
        <c:lblAlgn val="ctr"/>
        <c:lblOffset val="100"/>
        <c:noMultiLvlLbl val="0"/>
      </c:catAx>
      <c:valAx>
        <c:axId val="606217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771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c3d33d-bb0a-4d41-8f9b-128bc01376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COLUMN_AND_PIE_CHART_data!$B$1</c:f>
              <c:strCache>
                <c:ptCount val="1"/>
                <c:pt idx="0">
                  <c:v>JAN SALARY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COLUMN_AND_PIE_CHART_data!$C$1</c:f>
              <c:strCache>
                <c:ptCount val="1"/>
                <c:pt idx="0">
                  <c:v>FEB SALARY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e3cf68-059b-47c2-b138-d023438585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LINE_AND_BAR_CHART!$B$1</c:f>
              <c:strCache>
                <c:ptCount val="1"/>
                <c:pt idx="0">
                  <c:v>JAN SALARY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LINE_AND_BAR_CHART!$C$1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89041"/>
        <c:axId val="706226604"/>
      </c:lineChart>
      <c:catAx>
        <c:axId val="8589890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226604"/>
        <c:crosses val="autoZero"/>
        <c:auto val="1"/>
        <c:lblAlgn val="ctr"/>
        <c:lblOffset val="100"/>
        <c:noMultiLvlLbl val="0"/>
      </c:catAx>
      <c:valAx>
        <c:axId val="7062266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98904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e5fc53-64c0-4341-93d1-2e7826b433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LINE_AND_BAR_CHART!$B$1</c:f>
              <c:strCache>
                <c:ptCount val="1"/>
                <c:pt idx="0">
                  <c:v>JAN SALARY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LINE_AND_BAR_CHART!$C$1</c:f>
              <c:strCache>
                <c:ptCount val="1"/>
                <c:pt idx="0">
                  <c:v>FEB SALARY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51051284"/>
        <c:axId val="894189909"/>
      </c:barChart>
      <c:catAx>
        <c:axId val="2510512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189909"/>
        <c:crosses val="autoZero"/>
        <c:auto val="1"/>
        <c:lblAlgn val="ctr"/>
        <c:lblOffset val="100"/>
        <c:noMultiLvlLbl val="0"/>
      </c:catAx>
      <c:valAx>
        <c:axId val="8941899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0512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3dcbb-7ccf-4dac-9348-65b42779cd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SCATTER_AND_CAMBO_CHART_data!$B$1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2700000" scaled="0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xVal>
          <c:yVal>
            <c:numRef>
              <c:f>SCATTER_AND_CAMBO_CHART_data!$B$2:$B$9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SCATTER_AND_CAMBO_CHART_data!$C$1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2700000" scaled="0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xVal>
          <c:yVal>
            <c:numRef>
              <c:f>SCATTER_AND_CAMBO_CHART_data!$C$2:$C$9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17591"/>
        <c:axId val="101313645"/>
      </c:scatterChart>
      <c:valAx>
        <c:axId val="21371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13645"/>
        <c:crosses val="autoZero"/>
        <c:crossBetween val="midCat"/>
      </c:valAx>
      <c:valAx>
        <c:axId val="101313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71759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5ac794-b61b-4731-92ec-29ce40d569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SCATTER_AND_CAMBO_CHART_data!$B$1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SCATTER_AND_CAMBO_CHART_data!$B$2:$B$9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637602"/>
        <c:axId val="163255052"/>
      </c:barChart>
      <c:lineChart>
        <c:grouping val="standard"/>
        <c:varyColors val="0"/>
        <c:ser>
          <c:idx val="1"/>
          <c:order val="1"/>
          <c:tx>
            <c:strRef>
              <c:f>SCATTER_AND_CAMBO_CHART_data!$C$1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SCATTER_AND_CAMBO_CHART_data!$C$2:$C$9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3829941"/>
        <c:axId val="218830021"/>
      </c:lineChart>
      <c:catAx>
        <c:axId val="686637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255052"/>
        <c:crosses val="autoZero"/>
        <c:auto val="1"/>
        <c:lblAlgn val="ctr"/>
        <c:lblOffset val="100"/>
        <c:noMultiLvlLbl val="0"/>
      </c:catAx>
      <c:valAx>
        <c:axId val="163255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637602"/>
        <c:crosses val="autoZero"/>
        <c:crossBetween val="between"/>
      </c:valAx>
      <c:catAx>
        <c:axId val="24382994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30021"/>
        <c:crosses val="autoZero"/>
        <c:auto val="1"/>
        <c:lblAlgn val="ctr"/>
        <c:lblOffset val="100"/>
        <c:noMultiLvlLbl val="0"/>
      </c:catAx>
      <c:valAx>
        <c:axId val="21883002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82994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95e0c5-899b-4a49-9b03-208d24d773e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2700000" scaled="0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  <a:effectLst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450850</xdr:colOff>
      <xdr:row>0</xdr:row>
      <xdr:rowOff>140335</xdr:rowOff>
    </xdr:from>
    <xdr:to>
      <xdr:col>14</xdr:col>
      <xdr:colOff>520065</xdr:colOff>
      <xdr:row>7</xdr:row>
      <xdr:rowOff>139065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7650" y="140335"/>
              <a:ext cx="3726815" cy="91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146050</xdr:colOff>
      <xdr:row>2</xdr:row>
      <xdr:rowOff>64135</xdr:rowOff>
    </xdr:from>
    <xdr:to>
      <xdr:col>10</xdr:col>
      <xdr:colOff>304165</xdr:colOff>
      <xdr:row>17</xdr:row>
      <xdr:rowOff>88265</xdr:rowOff>
    </xdr:to>
    <xdr:graphicFrame>
      <xdr:nvGraphicFramePr>
        <xdr:cNvPr id="7" name="Chart 6"/>
        <xdr:cNvGraphicFramePr/>
      </xdr:nvGraphicFramePr>
      <xdr:xfrm>
        <a:off x="1974850" y="432435"/>
        <a:ext cx="4425315" cy="278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2</xdr:row>
      <xdr:rowOff>76835</xdr:rowOff>
    </xdr:from>
    <xdr:to>
      <xdr:col>16</xdr:col>
      <xdr:colOff>494665</xdr:colOff>
      <xdr:row>15</xdr:row>
      <xdr:rowOff>25400</xdr:rowOff>
    </xdr:to>
    <xdr:graphicFrame>
      <xdr:nvGraphicFramePr>
        <xdr:cNvPr id="8" name="Chart 7"/>
        <xdr:cNvGraphicFramePr/>
      </xdr:nvGraphicFramePr>
      <xdr:xfrm>
        <a:off x="7270750" y="445135"/>
        <a:ext cx="2977515" cy="2342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330835</xdr:colOff>
      <xdr:row>1</xdr:row>
      <xdr:rowOff>45085</xdr:rowOff>
    </xdr:from>
    <xdr:to>
      <xdr:col>10</xdr:col>
      <xdr:colOff>565150</xdr:colOff>
      <xdr:row>15</xdr:row>
      <xdr:rowOff>120015</xdr:rowOff>
    </xdr:to>
    <xdr:graphicFrame>
      <xdr:nvGraphicFramePr>
        <xdr:cNvPr id="2" name="Chart 1"/>
        <xdr:cNvGraphicFramePr/>
      </xdr:nvGraphicFramePr>
      <xdr:xfrm>
        <a:off x="2159635" y="229235"/>
        <a:ext cx="4501515" cy="2653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443865</xdr:colOff>
      <xdr:row>1</xdr:row>
      <xdr:rowOff>165735</xdr:rowOff>
    </xdr:from>
    <xdr:to>
      <xdr:col>18</xdr:col>
      <xdr:colOff>374015</xdr:colOff>
      <xdr:row>16</xdr:row>
      <xdr:rowOff>19685</xdr:rowOff>
    </xdr:to>
    <xdr:graphicFrame>
      <xdr:nvGraphicFramePr>
        <xdr:cNvPr id="3" name="Chart 2"/>
        <xdr:cNvGraphicFramePr/>
      </xdr:nvGraphicFramePr>
      <xdr:xfrm>
        <a:off x="7149465" y="349885"/>
        <a:ext cx="4197350" cy="26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483235</xdr:colOff>
      <xdr:row>1</xdr:row>
      <xdr:rowOff>38735</xdr:rowOff>
    </xdr:from>
    <xdr:to>
      <xdr:col>11</xdr:col>
      <xdr:colOff>209550</xdr:colOff>
      <xdr:row>16</xdr:row>
      <xdr:rowOff>43815</xdr:rowOff>
    </xdr:to>
    <xdr:graphicFrame>
      <xdr:nvGraphicFramePr>
        <xdr:cNvPr id="3" name="Chart 2"/>
        <xdr:cNvGraphicFramePr/>
      </xdr:nvGraphicFramePr>
      <xdr:xfrm>
        <a:off x="2312035" y="222885"/>
        <a:ext cx="4603115" cy="2767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546735</xdr:colOff>
      <xdr:row>0</xdr:row>
      <xdr:rowOff>133985</xdr:rowOff>
    </xdr:from>
    <xdr:to>
      <xdr:col>17</xdr:col>
      <xdr:colOff>608965</xdr:colOff>
      <xdr:row>17</xdr:row>
      <xdr:rowOff>26035</xdr:rowOff>
    </xdr:to>
    <xdr:graphicFrame>
      <xdr:nvGraphicFramePr>
        <xdr:cNvPr id="4" name="Chart 3"/>
        <xdr:cNvGraphicFramePr/>
      </xdr:nvGraphicFramePr>
      <xdr:xfrm>
        <a:off x="7252335" y="133985"/>
        <a:ext cx="3719830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7.3045717593" refreshedBy="DELL" recordCount="11">
  <cacheSource type="worksheet">
    <worksheetSource ref="A1:G12" sheet="PIVOT_TABLE_data"/>
  </cacheSource>
  <cacheFields count="7">
    <cacheField name="ID" numFmtId="0">
      <sharedItems containsSemiMixedTypes="0" containsString="0" containsNumber="1" containsInteger="1" minValue="0" maxValue="110" count="11">
        <n v="100"/>
        <n v="101"/>
        <n v="102"/>
        <n v="103"/>
        <n v="104"/>
        <n v="105"/>
        <n v="106"/>
        <n v="107"/>
        <n v="108"/>
        <n v="109"/>
        <n v="110"/>
      </sharedItems>
    </cacheField>
    <cacheField name="SALESMAN" numFmtId="0">
      <sharedItems count="11">
        <s v="Aryan"/>
        <s v="Arun"/>
        <s v="Vikash"/>
        <s v="Shivam"/>
        <s v="Aditya"/>
        <s v="Raj"/>
        <s v="Mayank"/>
        <s v="Adarsh"/>
        <s v="Vikram"/>
        <s v="Jaydeep"/>
        <s v="Subhash"/>
      </sharedItems>
    </cacheField>
    <cacheField name="ITEM" numFmtId="0">
      <sharedItems count="11">
        <s v="Keyboard"/>
        <s v="Shirts"/>
        <s v="Mouse"/>
        <s v="Cpu"/>
        <s v="Zara"/>
        <s v="Monitor"/>
        <s v="Jeans"/>
        <s v="Laptop"/>
        <s v="Iphone"/>
        <s v="Speaker"/>
        <s v="Headphone"/>
      </sharedItems>
    </cacheField>
    <cacheField name="QTY" numFmtId="0">
      <sharedItems containsSemiMixedTypes="0" containsString="0" containsNumber="1" containsInteger="1" minValue="0" maxValue="9" count="6">
        <n v="3"/>
        <n v="8"/>
        <n v="9"/>
        <n v="4"/>
        <n v="7"/>
        <n v="2"/>
      </sharedItems>
    </cacheField>
    <cacheField name="DEPARTMENT" numFmtId="0">
      <sharedItems count="3">
        <s v="Electronics"/>
        <s v="Bags"/>
        <s v="Garments"/>
      </sharedItems>
    </cacheField>
    <cacheField name="STATE" numFmtId="0">
      <sharedItems count="3">
        <s v="Up"/>
        <s v="Delhi"/>
        <s v="Punjab"/>
      </sharedItems>
    </cacheField>
    <cacheField name="SALES" numFmtId="0">
      <sharedItems containsSemiMixedTypes="0" containsString="0" containsNumber="1" containsInteger="1" minValue="0" maxValue="90890" count="11">
        <n v="80000"/>
        <n v="12809"/>
        <n v="35890"/>
        <n v="44444"/>
        <n v="56667"/>
        <n v="12589"/>
        <n v="90890"/>
        <n v="35679"/>
        <n v="45623"/>
        <n v="90833"/>
        <n v="2229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8.3762152778" refreshedBy="DELL" recordCount="6">
  <cacheSource type="worksheet">
    <worksheetSource ref="A1:B7" sheet="SHOW_VALUES_data"/>
  </cacheSource>
  <cacheFields count="2">
    <cacheField name="STATE" numFmtId="0">
      <sharedItems count="6">
        <s v="Up"/>
        <s v="Mp"/>
        <s v="Delhi"/>
        <s v="Punjab"/>
        <s v="Noida"/>
        <s v="Kanpur"/>
      </sharedItems>
    </cacheField>
    <cacheField name="SALES" numFmtId="0">
      <sharedItems containsSemiMixedTypes="0" containsString="0" containsNumber="1" containsInteger="1" minValue="0" maxValue="80000" count="6">
        <n v="80000"/>
        <n v="12809"/>
        <n v="35890"/>
        <n v="44444"/>
        <n v="56667"/>
        <n v="1258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2:O23" firstHeaderRow="1" firstDataRow="1" firstDataCol="5"/>
  <pivotFields count="7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multipleItemSelectionAllowed="1" showAll="0">
      <items count="12">
        <item h="1" x="7"/>
        <item x="4"/>
        <item h="1" x="1"/>
        <item x="0"/>
        <item h="1" x="9"/>
        <item h="1" x="6"/>
        <item h="1" x="5"/>
        <item x="3"/>
        <item h="1" x="10"/>
        <item h="1" x="2"/>
        <item x="8"/>
        <item t="default"/>
      </items>
    </pivotField>
    <pivotField axis="axisRow" compact="0" showAll="0">
      <items count="12">
        <item x="3"/>
        <item x="10"/>
        <item x="8"/>
        <item x="6"/>
        <item x="0"/>
        <item x="7"/>
        <item x="5"/>
        <item x="2"/>
        <item x="1"/>
        <item x="9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axis="axisRow" compact="0" showAll="0">
      <items count="12">
        <item x="5"/>
        <item x="1"/>
        <item x="10"/>
        <item x="7"/>
        <item x="2"/>
        <item x="3"/>
        <item x="8"/>
        <item x="4"/>
        <item x="0"/>
        <item x="9"/>
        <item x="6"/>
        <item t="default"/>
      </items>
    </pivotField>
  </pivotFields>
  <rowFields count="5">
    <field x="1"/>
    <field x="6"/>
    <field x="5"/>
    <field x="4"/>
    <field x="2"/>
  </rowFields>
  <rowItems count="21">
    <i>
      <x v="1"/>
    </i>
    <i r="1">
      <x v="7"/>
    </i>
    <i r="2">
      <x v="1"/>
    </i>
    <i r="3">
      <x v="2"/>
    </i>
    <i r="4">
      <x v="10"/>
    </i>
    <i>
      <x v="3"/>
    </i>
    <i r="1">
      <x v="8"/>
    </i>
    <i r="2">
      <x v="2"/>
    </i>
    <i r="3">
      <x v="1"/>
    </i>
    <i r="4">
      <x v="4"/>
    </i>
    <i>
      <x v="7"/>
    </i>
    <i r="1">
      <x v="5"/>
    </i>
    <i r="2">
      <x v="1"/>
    </i>
    <i r="3">
      <x v="2"/>
    </i>
    <i r="4">
      <x/>
    </i>
    <i>
      <x v="10"/>
    </i>
    <i r="1">
      <x v="6"/>
    </i>
    <i r="2">
      <x/>
    </i>
    <i r="3">
      <x/>
    </i>
    <i r="4">
      <x v="2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6:G23" firstHeaderRow="1" firstDataRow="1" firstDataCol="1"/>
  <pivotFields count="2">
    <pivotField axis="axisRow" compact="0" showAll="0">
      <items count="7">
        <item x="2"/>
        <item x="5"/>
        <item x="1"/>
        <item x="4"/>
        <item x="3"/>
        <item x="0"/>
        <item t="default"/>
      </items>
    </pivotField>
    <pivotField dataField="1" compact="0" showAll="0">
      <items count="7">
        <item x="5"/>
        <item x="1"/>
        <item x="2"/>
        <item x="3"/>
        <item x="4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7:G14" firstHeaderRow="1" firstDataRow="1" firstDataCol="1"/>
  <pivotFields count="2">
    <pivotField axis="axisRow" compact="0" showAll="0">
      <items count="7">
        <item x="2"/>
        <item x="5"/>
        <item x="1"/>
        <item x="4"/>
        <item x="3"/>
        <item x="0"/>
        <item t="default"/>
      </items>
    </pivotField>
    <pivotField dataField="1" compact="0" showAll="0">
      <items count="7">
        <item x="5"/>
        <item x="1"/>
        <item x="2"/>
        <item x="3"/>
        <item x="4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columnCount="3" style="SlicerStyleLight5" rowHeight="225425"/>
</slicers>
</file>

<file path=xl/tables/table1.xml><?xml version="1.0" encoding="utf-8"?>
<table xmlns="http://schemas.openxmlformats.org/spreadsheetml/2006/main" id="1" name="Table1" displayName="Table1" ref="A1:F12" totalsRowShown="0">
  <autoFilter xmlns:etc="http://www.wps.cn/officeDocument/2017/etCustomData" ref="A1:F12" etc:filterBottomFollowUsedRange="0">
    <filterColumn colId="4">
      <customFilters>
        <customFilter operator="equal" val="Up"/>
        <customFilter operator="equal" val="Delhi"/>
      </customFilters>
    </filterColumn>
  </autoFilter>
  <tableColumns count="6">
    <tableColumn id="1" name="SALESMAN"/>
    <tableColumn id="2" name="ITEM"/>
    <tableColumn id="3" name="QTY"/>
    <tableColumn id="4" name="DEPARTMENT"/>
    <tableColumn id="5" name="STATE"/>
    <tableColumn id="6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"/>
    </sheetView>
  </sheetViews>
  <sheetFormatPr defaultColWidth="8.72727272727273" defaultRowHeight="14.5" outlineLevelRow="7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9</v>
      </c>
      <c r="I2" t="s">
        <v>4</v>
      </c>
    </row>
    <row r="3" spans="1:9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12</v>
      </c>
      <c r="H3" cm="1">
        <f t="array" ref="H3:I3">VLOOKUP(G3,A1:E8,{4,5},0)</f>
        <v>4000</v>
      </c>
      <c r="I3" t="str">
        <v>Delhi</v>
      </c>
    </row>
    <row r="4" spans="1:9">
      <c r="A4" t="s">
        <v>13</v>
      </c>
      <c r="B4" t="s">
        <v>14</v>
      </c>
      <c r="C4">
        <v>2</v>
      </c>
      <c r="D4">
        <v>1900</v>
      </c>
      <c r="E4" t="s">
        <v>15</v>
      </c>
    </row>
    <row r="5" spans="1:9">
      <c r="A5" t="s">
        <v>12</v>
      </c>
      <c r="B5" t="s">
        <v>16</v>
      </c>
      <c r="C5">
        <v>1</v>
      </c>
      <c r="D5">
        <v>4000</v>
      </c>
      <c r="E5" t="s">
        <v>17</v>
      </c>
    </row>
    <row r="6" spans="1:9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9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9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E8"/>
    </sheetView>
  </sheetViews>
  <sheetFormatPr defaultColWidth="8.72727272727273" defaultRowHeight="14.5" outlineLevelRow="7" outlineLevelCol="7"/>
  <sheetData>
    <row r="1" spans="1:8">
      <c r="A1" t="s">
        <v>0</v>
      </c>
      <c r="B1" t="s">
        <v>1</v>
      </c>
      <c r="C1" t="s">
        <v>2</v>
      </c>
      <c r="D1" t="s">
        <v>9</v>
      </c>
      <c r="E1" t="s">
        <v>4</v>
      </c>
    </row>
    <row r="2" spans="1:8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20</v>
      </c>
    </row>
    <row r="3" spans="1:8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</v>
      </c>
      <c r="H3" t="str" cm="1">
        <f t="array" ref="H3:H5">HLOOKUP({"CATEGORY";"PRICE";"CITY"},A1:E8,7,0)</f>
        <v>Electronics</v>
      </c>
    </row>
    <row r="4" spans="1:8">
      <c r="A4" t="s">
        <v>13</v>
      </c>
      <c r="B4" t="s">
        <v>14</v>
      </c>
      <c r="C4">
        <v>2</v>
      </c>
      <c r="D4">
        <v>1900</v>
      </c>
      <c r="E4" t="s">
        <v>15</v>
      </c>
      <c r="G4" t="s">
        <v>9</v>
      </c>
      <c r="H4">
        <v>28000</v>
      </c>
    </row>
    <row r="5" spans="1:8">
      <c r="A5" t="s">
        <v>12</v>
      </c>
      <c r="B5" t="s">
        <v>16</v>
      </c>
      <c r="C5">
        <v>1</v>
      </c>
      <c r="D5">
        <v>4000</v>
      </c>
      <c r="E5" t="s">
        <v>17</v>
      </c>
      <c r="G5" t="s">
        <v>4</v>
      </c>
      <c r="H5" t="str">
        <v>Kanpur</v>
      </c>
    </row>
    <row r="6" spans="1:8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8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8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"/>
    </sheetView>
  </sheetViews>
  <sheetFormatPr defaultColWidth="8.72727272727273" defaultRowHeight="14.5" outlineLevelRow="7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4</v>
      </c>
    </row>
    <row r="2" spans="1:11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1</v>
      </c>
      <c r="I2" t="s">
        <v>2</v>
      </c>
      <c r="J2" t="s">
        <v>9</v>
      </c>
      <c r="K2" t="s">
        <v>4</v>
      </c>
    </row>
    <row r="3" spans="1:11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13</v>
      </c>
      <c r="H3" t="str" cm="1">
        <f t="array" ref="H3:K3">_xlfn.XLOOKUP(G3,A1:A8,B1:E8)</f>
        <v>Clothes</v>
      </c>
      <c r="I3">
        <v>2</v>
      </c>
      <c r="J3">
        <v>1900</v>
      </c>
      <c r="K3" t="str">
        <v>Gurugram</v>
      </c>
    </row>
    <row r="4" spans="1:11">
      <c r="A4" t="s">
        <v>13</v>
      </c>
      <c r="B4" t="s">
        <v>14</v>
      </c>
      <c r="C4">
        <v>2</v>
      </c>
      <c r="D4">
        <v>1900</v>
      </c>
      <c r="E4" t="s">
        <v>15</v>
      </c>
    </row>
    <row r="5" spans="1:11">
      <c r="A5" t="s">
        <v>12</v>
      </c>
      <c r="B5" t="s">
        <v>16</v>
      </c>
      <c r="C5">
        <v>1</v>
      </c>
      <c r="D5">
        <v>4000</v>
      </c>
      <c r="E5" t="s">
        <v>17</v>
      </c>
    </row>
    <row r="6" spans="1:11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11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11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:F10"/>
    </sheetView>
  </sheetViews>
  <sheetFormatPr defaultColWidth="8.72727272727273" defaultRowHeight="14.5"/>
  <sheetData>
    <row r="1" spans="1:14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4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  <c r="H2" t="s">
        <v>24</v>
      </c>
      <c r="I2" t="s">
        <v>25</v>
      </c>
      <c r="J2" t="s">
        <v>26</v>
      </c>
      <c r="K2" t="s">
        <v>27</v>
      </c>
      <c r="L2" t="s">
        <v>2</v>
      </c>
      <c r="M2" t="s">
        <v>28</v>
      </c>
    </row>
    <row r="3" spans="1:14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  <c r="H3">
        <v>102</v>
      </c>
      <c r="I3" cm="1">
        <f t="array" ref="I3:N3">INDEX(A1:F10,MATCH(H3,A1:A10,0),)</f>
        <v>102</v>
      </c>
      <c r="J3" t="str">
        <v>Intel</v>
      </c>
      <c r="K3" t="str">
        <v>Mouse</v>
      </c>
      <c r="L3">
        <v>765</v>
      </c>
      <c r="M3">
        <v>9</v>
      </c>
      <c r="N3">
        <v>22680</v>
      </c>
    </row>
    <row r="4" spans="1:14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</row>
    <row r="5" spans="1:14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</row>
    <row r="6" spans="1:14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</row>
    <row r="7" spans="1:14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</row>
    <row r="8" spans="1:14">
      <c r="A8">
        <v>106</v>
      </c>
      <c r="B8" t="s">
        <v>34</v>
      </c>
      <c r="C8" t="s">
        <v>35</v>
      </c>
      <c r="D8">
        <v>878</v>
      </c>
      <c r="E8">
        <v>6</v>
      </c>
      <c r="F8">
        <v>18900</v>
      </c>
    </row>
    <row r="9" spans="1:14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</row>
    <row r="10" spans="1:14">
      <c r="A10">
        <v>108</v>
      </c>
      <c r="B10" t="s">
        <v>31</v>
      </c>
      <c r="C10" t="s">
        <v>30</v>
      </c>
      <c r="D10">
        <v>908</v>
      </c>
      <c r="E10">
        <v>8</v>
      </c>
      <c r="F10">
        <v>6321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8.72727272727273" defaultRowHeight="14.5" outlineLevelRow="7" outlineLevelCol="5"/>
  <sheetData>
    <row r="1" spans="1: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s="1" t="s">
        <v>42</v>
      </c>
      <c r="B2" s="1">
        <v>45</v>
      </c>
      <c r="C2" s="1" t="str">
        <f>IF(B2&gt;=45,"PASS","FAIL")</f>
        <v>PASS</v>
      </c>
      <c r="D2" s="1" t="str">
        <f>IF(B2&gt;=90,"A",IF(B2&gt;=50,"B","C"))</f>
        <v>C</v>
      </c>
      <c r="E2" s="1">
        <v>80</v>
      </c>
      <c r="F2" s="1" t="str">
        <f>IF(E2&gt;=75,"NOT FINE","FINE")</f>
        <v>NOT FINE</v>
      </c>
    </row>
    <row r="3" spans="1:6">
      <c r="A3" s="1" t="s">
        <v>43</v>
      </c>
      <c r="B3" s="1">
        <v>67</v>
      </c>
      <c r="C3" s="1" t="str">
        <f t="shared" ref="C3:C8" si="0">IF(B3&gt;=45,"PASS","FAIL")</f>
        <v>PASS</v>
      </c>
      <c r="D3" s="1" t="str">
        <f t="shared" ref="D3:D8" si="1">IF(B3&gt;=90,"A",IF(B3&gt;=50,"B","C"))</f>
        <v>B</v>
      </c>
      <c r="E3" s="1">
        <v>77</v>
      </c>
      <c r="F3" s="1" t="str">
        <f t="shared" ref="F3:F8" si="2">IF(E3&gt;=75,"NOT FINE","FINE")</f>
        <v>NOT FINE</v>
      </c>
    </row>
    <row r="4" spans="1:6">
      <c r="A4" s="1" t="s">
        <v>44</v>
      </c>
      <c r="B4" s="1">
        <v>5</v>
      </c>
      <c r="C4" s="1" t="str">
        <f t="shared" si="0"/>
        <v>FAIL</v>
      </c>
      <c r="D4" s="1" t="str">
        <f t="shared" si="1"/>
        <v>C</v>
      </c>
      <c r="E4" s="1">
        <v>70</v>
      </c>
      <c r="F4" s="1" t="str">
        <f t="shared" si="2"/>
        <v>FINE</v>
      </c>
    </row>
    <row r="5" spans="1:6">
      <c r="A5" s="1" t="s">
        <v>45</v>
      </c>
      <c r="B5" s="1">
        <v>99</v>
      </c>
      <c r="C5" s="1" t="str">
        <f t="shared" si="0"/>
        <v>PASS</v>
      </c>
      <c r="D5" s="1" t="str">
        <f t="shared" si="1"/>
        <v>A</v>
      </c>
      <c r="E5" s="1">
        <v>45</v>
      </c>
      <c r="F5" s="1" t="str">
        <f t="shared" si="2"/>
        <v>FINE</v>
      </c>
    </row>
    <row r="6" spans="1:6">
      <c r="A6" s="1" t="s">
        <v>46</v>
      </c>
      <c r="B6" s="1">
        <v>34</v>
      </c>
      <c r="C6" s="1" t="str">
        <f t="shared" si="0"/>
        <v>FAIL</v>
      </c>
      <c r="D6" s="1" t="str">
        <f t="shared" si="1"/>
        <v>C</v>
      </c>
      <c r="E6" s="1">
        <v>86</v>
      </c>
      <c r="F6" s="1" t="str">
        <f t="shared" si="2"/>
        <v>NOT FINE</v>
      </c>
    </row>
    <row r="7" spans="1:6">
      <c r="A7" s="1" t="s">
        <v>47</v>
      </c>
      <c r="B7" s="1">
        <v>56</v>
      </c>
      <c r="C7" s="1" t="str">
        <f t="shared" si="0"/>
        <v>PASS</v>
      </c>
      <c r="D7" s="1" t="str">
        <f t="shared" si="1"/>
        <v>B</v>
      </c>
      <c r="E7" s="1">
        <v>73</v>
      </c>
      <c r="F7" s="1" t="str">
        <f t="shared" si="2"/>
        <v>FINE</v>
      </c>
    </row>
    <row r="8" spans="1:6">
      <c r="A8" s="1" t="s">
        <v>48</v>
      </c>
      <c r="B8" s="1">
        <v>87</v>
      </c>
      <c r="C8" s="1" t="str">
        <f t="shared" si="0"/>
        <v>PASS</v>
      </c>
      <c r="D8" s="1" t="str">
        <f t="shared" si="1"/>
        <v>B</v>
      </c>
      <c r="E8" s="1">
        <v>90</v>
      </c>
      <c r="F8" s="1" t="str">
        <f t="shared" si="2"/>
        <v>NOT FINE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:G9"/>
    </sheetView>
  </sheetViews>
  <sheetFormatPr defaultColWidth="8.72727272727273" defaultRowHeight="14.5"/>
  <sheetData>
    <row r="1" spans="1:10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  <c r="F1" s="1" t="s">
        <v>53</v>
      </c>
      <c r="G1" s="1" t="s">
        <v>28</v>
      </c>
    </row>
    <row r="2" spans="1:10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  <c r="F2" s="1">
        <v>445</v>
      </c>
      <c r="G2" s="1">
        <v>5756</v>
      </c>
    </row>
    <row r="3" spans="1:10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F3" s="1">
        <v>766</v>
      </c>
      <c r="G3" s="1">
        <v>5567</v>
      </c>
      <c r="I3" t="s">
        <v>26</v>
      </c>
      <c r="J3" t="s">
        <v>53</v>
      </c>
    </row>
    <row r="4" spans="1:10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F4" s="1">
        <v>543</v>
      </c>
      <c r="G4" s="1">
        <v>3322</v>
      </c>
      <c r="I4" t="s">
        <v>32</v>
      </c>
      <c r="J4">
        <f>SUMIF(C1:C9,C2,E1:E9)</f>
        <v>1346</v>
      </c>
    </row>
    <row r="5" spans="1:10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  <c r="F5" s="1">
        <v>243</v>
      </c>
      <c r="G5" s="1">
        <v>9087</v>
      </c>
    </row>
    <row r="6" spans="1:10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  <c r="F6" s="1">
        <v>675</v>
      </c>
      <c r="G6" s="1">
        <v>5485</v>
      </c>
    </row>
    <row r="7" spans="1:10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  <c r="F7" s="1">
        <v>876</v>
      </c>
      <c r="G7" s="1">
        <v>9867</v>
      </c>
    </row>
    <row r="8" spans="1:10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  <c r="F8" s="1">
        <v>342</v>
      </c>
      <c r="G8" s="1">
        <v>7686</v>
      </c>
    </row>
    <row r="9" spans="1:10">
      <c r="A9" s="1" t="s">
        <v>67</v>
      </c>
      <c r="B9" s="1" t="s">
        <v>66</v>
      </c>
      <c r="C9" s="1" t="s">
        <v>33</v>
      </c>
      <c r="D9" s="1">
        <v>765</v>
      </c>
      <c r="E9" s="1">
        <v>358</v>
      </c>
      <c r="F9" s="1">
        <v>333</v>
      </c>
      <c r="G9" s="1">
        <v>6788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8.72727272727273" defaultRowHeight="14.5"/>
  <sheetData>
    <row r="1" spans="1:14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  <c r="F1" s="1" t="s">
        <v>53</v>
      </c>
      <c r="G1" s="1" t="s">
        <v>28</v>
      </c>
    </row>
    <row r="2" spans="1:14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  <c r="F2" s="1">
        <v>445</v>
      </c>
      <c r="G2" s="1">
        <v>5756</v>
      </c>
    </row>
    <row r="3" spans="1:14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F3" s="1">
        <v>766</v>
      </c>
      <c r="G3" s="1">
        <v>5567</v>
      </c>
      <c r="I3" t="s">
        <v>50</v>
      </c>
      <c r="J3" t="s">
        <v>26</v>
      </c>
      <c r="K3" t="s">
        <v>51</v>
      </c>
      <c r="L3" t="s">
        <v>52</v>
      </c>
      <c r="M3" t="s">
        <v>53</v>
      </c>
      <c r="N3" t="s">
        <v>28</v>
      </c>
    </row>
    <row r="4" spans="1:14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F4" s="1">
        <v>543</v>
      </c>
      <c r="G4" s="1">
        <v>3322</v>
      </c>
      <c r="I4" t="s">
        <v>59</v>
      </c>
      <c r="J4" t="s">
        <v>33</v>
      </c>
      <c r="K4">
        <f>SUMIFS(D$1:D$9,$C$1:$C$9,$J$4,B1:B9,$I$4)</f>
        <v>1639</v>
      </c>
      <c r="L4">
        <v>456</v>
      </c>
      <c r="M4">
        <v>576</v>
      </c>
      <c r="N4">
        <v>15875</v>
      </c>
    </row>
    <row r="5" spans="1:14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  <c r="F5" s="1">
        <v>243</v>
      </c>
      <c r="G5" s="1">
        <v>9087</v>
      </c>
    </row>
    <row r="6" spans="1:14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  <c r="F6" s="1">
        <v>675</v>
      </c>
      <c r="G6" s="1">
        <v>5485</v>
      </c>
    </row>
    <row r="7" spans="1:14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  <c r="F7" s="1">
        <v>876</v>
      </c>
      <c r="G7" s="1">
        <v>9867</v>
      </c>
    </row>
    <row r="8" spans="1:14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  <c r="F8" s="1">
        <v>342</v>
      </c>
      <c r="G8" s="1">
        <v>7686</v>
      </c>
    </row>
    <row r="9" spans="1:14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  <c r="F9" s="1">
        <v>333</v>
      </c>
      <c r="G9" s="1">
        <v>6788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8.72727272727273" defaultRowHeight="14.5"/>
  <sheetData>
    <row r="1" spans="1:9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</row>
    <row r="2" spans="1:9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</row>
    <row r="3" spans="1:9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H3" t="s">
        <v>26</v>
      </c>
      <c r="I3" t="s">
        <v>68</v>
      </c>
    </row>
    <row r="4" spans="1:9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H4" t="s">
        <v>60</v>
      </c>
      <c r="I4">
        <f>COUNTIF(C1:C9,H4)</f>
        <v>2</v>
      </c>
    </row>
    <row r="5" spans="1:9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</row>
    <row r="6" spans="1:9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</row>
    <row r="7" spans="1:9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</row>
    <row r="8" spans="1:9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</row>
    <row r="9" spans="1:9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8.72727272727273" defaultRowHeight="14.5"/>
  <sheetData>
    <row r="1" spans="1:10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</row>
    <row r="2" spans="1:10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</row>
    <row r="3" spans="1:10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G3" t="s">
        <v>49</v>
      </c>
      <c r="H3" t="s">
        <v>50</v>
      </c>
      <c r="I3" t="s">
        <v>26</v>
      </c>
      <c r="J3" t="s">
        <v>68</v>
      </c>
    </row>
    <row r="4" spans="1:10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G4" t="s">
        <v>56</v>
      </c>
      <c r="H4" t="s">
        <v>59</v>
      </c>
      <c r="I4" t="s">
        <v>33</v>
      </c>
      <c r="J4">
        <f>COUNTIFS(A1:A9,G4,B1:B9,H4,C1:C9,I4)</f>
        <v>1</v>
      </c>
    </row>
    <row r="5" spans="1:10">
      <c r="A5" s="1" t="s">
        <v>56</v>
      </c>
      <c r="B5" s="1" t="s">
        <v>59</v>
      </c>
      <c r="C5" s="1" t="s">
        <v>33</v>
      </c>
      <c r="D5" s="1">
        <v>874</v>
      </c>
      <c r="E5" s="1">
        <v>98</v>
      </c>
    </row>
    <row r="6" spans="1:10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</row>
    <row r="7" spans="1:10">
      <c r="A7" s="1" t="s">
        <v>56</v>
      </c>
      <c r="B7" s="1" t="s">
        <v>63</v>
      </c>
      <c r="C7" s="1" t="s">
        <v>65</v>
      </c>
      <c r="D7" s="1">
        <v>954</v>
      </c>
      <c r="E7" s="1">
        <v>346</v>
      </c>
    </row>
    <row r="8" spans="1:10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</row>
    <row r="9" spans="1:10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8.72727272727273" defaultRowHeight="14.5" outlineLevelCol="5"/>
  <cols>
    <col min="6" max="6" width="12.8181818181818"/>
  </cols>
  <sheetData>
    <row r="1" spans="1:6">
      <c r="A1" s="1" t="s">
        <v>69</v>
      </c>
      <c r="B1" s="1" t="s">
        <v>70</v>
      </c>
      <c r="C1" s="1" t="s">
        <v>27</v>
      </c>
    </row>
    <row r="2" spans="1:6">
      <c r="A2" s="1" t="s">
        <v>34</v>
      </c>
      <c r="B2" s="1" t="s">
        <v>30</v>
      </c>
      <c r="C2" s="1">
        <v>6337</v>
      </c>
    </row>
    <row r="3" spans="1:6">
      <c r="A3" s="1" t="s">
        <v>20</v>
      </c>
      <c r="B3" s="1" t="s">
        <v>5</v>
      </c>
      <c r="C3" s="1">
        <v>88543</v>
      </c>
      <c r="E3" t="s">
        <v>25</v>
      </c>
      <c r="F3" t="s">
        <v>27</v>
      </c>
    </row>
    <row r="4" spans="1:6">
      <c r="A4" s="1" t="s">
        <v>71</v>
      </c>
      <c r="B4" s="1" t="s">
        <v>30</v>
      </c>
      <c r="C4" s="1">
        <v>5677</v>
      </c>
      <c r="E4" t="s">
        <v>20</v>
      </c>
      <c r="F4">
        <f>AVERAGEIF(A1:A10,E4,C1:C10)</f>
        <v>78758.6666666667</v>
      </c>
    </row>
    <row r="5" spans="1:6">
      <c r="A5" s="1" t="s">
        <v>72</v>
      </c>
      <c r="B5" s="1" t="s">
        <v>32</v>
      </c>
      <c r="C5" s="1">
        <v>33356</v>
      </c>
    </row>
    <row r="6" spans="1:6">
      <c r="A6" s="1" t="s">
        <v>73</v>
      </c>
      <c r="B6" s="1" t="s">
        <v>5</v>
      </c>
      <c r="C6" s="1">
        <v>77787</v>
      </c>
    </row>
    <row r="7" spans="1:6">
      <c r="A7" s="1" t="s">
        <v>34</v>
      </c>
      <c r="B7" s="1" t="s">
        <v>30</v>
      </c>
      <c r="C7" s="1">
        <v>90976</v>
      </c>
    </row>
    <row r="8" spans="1:6">
      <c r="A8" s="1" t="s">
        <v>20</v>
      </c>
      <c r="B8" s="1" t="s">
        <v>32</v>
      </c>
      <c r="C8" s="1">
        <v>47889</v>
      </c>
    </row>
    <row r="9" spans="1:6">
      <c r="A9" s="1" t="s">
        <v>34</v>
      </c>
      <c r="B9" s="1" t="s">
        <v>72</v>
      </c>
      <c r="C9" s="1">
        <v>48488</v>
      </c>
    </row>
    <row r="10" spans="1:6">
      <c r="A10" s="1" t="s">
        <v>20</v>
      </c>
      <c r="B10" s="1" t="s">
        <v>32</v>
      </c>
      <c r="C10" s="1">
        <v>99844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8.72727272727273" defaultRowHeight="14.5" outlineLevelCol="6"/>
  <sheetData>
    <row r="1" spans="1:7">
      <c r="A1" s="1" t="s">
        <v>69</v>
      </c>
      <c r="B1" s="1" t="s">
        <v>70</v>
      </c>
      <c r="C1" s="1" t="s">
        <v>27</v>
      </c>
    </row>
    <row r="2" spans="1:7">
      <c r="A2" s="1" t="s">
        <v>34</v>
      </c>
      <c r="B2" s="1" t="s">
        <v>30</v>
      </c>
      <c r="C2" s="1">
        <v>6337</v>
      </c>
    </row>
    <row r="3" spans="1:7">
      <c r="A3" s="1" t="s">
        <v>20</v>
      </c>
      <c r="B3" s="1" t="s">
        <v>5</v>
      </c>
      <c r="C3" s="1">
        <v>88543</v>
      </c>
    </row>
    <row r="4" spans="1:7">
      <c r="A4" s="1" t="s">
        <v>71</v>
      </c>
      <c r="B4" s="1" t="s">
        <v>30</v>
      </c>
      <c r="C4" s="1">
        <v>5677</v>
      </c>
      <c r="E4" t="s">
        <v>25</v>
      </c>
      <c r="F4" t="s">
        <v>70</v>
      </c>
      <c r="G4" t="s">
        <v>27</v>
      </c>
    </row>
    <row r="5" spans="1:7">
      <c r="A5" s="1" t="s">
        <v>72</v>
      </c>
      <c r="B5" s="1" t="s">
        <v>32</v>
      </c>
      <c r="C5" s="1">
        <v>33356</v>
      </c>
      <c r="E5" t="s">
        <v>34</v>
      </c>
      <c r="F5" t="s">
        <v>30</v>
      </c>
      <c r="G5">
        <f>AVERAGEIFS(C1:C10,A1:A10,E5,B1:B10,F5)</f>
        <v>48656.5</v>
      </c>
    </row>
    <row r="6" spans="1:7">
      <c r="A6" s="1" t="s">
        <v>73</v>
      </c>
      <c r="B6" s="1" t="s">
        <v>5</v>
      </c>
      <c r="C6" s="1">
        <v>77787</v>
      </c>
    </row>
    <row r="7" spans="1:7">
      <c r="A7" s="1" t="s">
        <v>34</v>
      </c>
      <c r="B7" s="1" t="s">
        <v>30</v>
      </c>
      <c r="C7" s="1">
        <v>90976</v>
      </c>
    </row>
    <row r="8" spans="1:7">
      <c r="A8" s="1" t="s">
        <v>20</v>
      </c>
      <c r="B8" s="1" t="s">
        <v>32</v>
      </c>
      <c r="C8" s="1">
        <v>47889</v>
      </c>
    </row>
    <row r="9" spans="1:7">
      <c r="A9" s="1" t="s">
        <v>34</v>
      </c>
      <c r="B9" s="1" t="s">
        <v>72</v>
      </c>
      <c r="C9" s="1">
        <v>48488</v>
      </c>
    </row>
    <row r="10" spans="1:7">
      <c r="A10" s="1" t="s">
        <v>20</v>
      </c>
      <c r="B10" s="1" t="s">
        <v>32</v>
      </c>
      <c r="C10" s="1">
        <v>99844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F8" sqref="F8"/>
    </sheetView>
  </sheetViews>
  <sheetFormatPr defaultColWidth="8.72727272727273" defaultRowHeight="14.5"/>
  <sheetData>
    <row r="1" spans="1:9">
      <c r="A1" s="1" t="s">
        <v>50</v>
      </c>
      <c r="B1" s="1" t="s">
        <v>74</v>
      </c>
      <c r="C1" s="1" t="s">
        <v>8</v>
      </c>
      <c r="D1" s="1" t="s">
        <v>75</v>
      </c>
    </row>
    <row r="2" spans="1:9">
      <c r="A2" s="1" t="s">
        <v>55</v>
      </c>
      <c r="B2" s="1" t="s">
        <v>76</v>
      </c>
      <c r="C2" s="1" t="s">
        <v>77</v>
      </c>
      <c r="D2" s="1">
        <v>53</v>
      </c>
    </row>
    <row r="3" spans="1:9">
      <c r="A3" s="1" t="s">
        <v>59</v>
      </c>
      <c r="B3" s="1" t="s">
        <v>78</v>
      </c>
      <c r="C3" s="1" t="s">
        <v>79</v>
      </c>
      <c r="D3" s="1">
        <v>56</v>
      </c>
      <c r="F3" t="s">
        <v>50</v>
      </c>
      <c r="G3" t="s">
        <v>55</v>
      </c>
    </row>
    <row r="4" spans="1:9">
      <c r="A4" s="1" t="s">
        <v>63</v>
      </c>
      <c r="B4" s="1" t="s">
        <v>80</v>
      </c>
      <c r="C4" s="1" t="s">
        <v>81</v>
      </c>
      <c r="D4" s="1">
        <v>21</v>
      </c>
    </row>
    <row r="5" spans="1:9">
      <c r="A5" s="1" t="s">
        <v>66</v>
      </c>
      <c r="B5" s="1" t="s">
        <v>82</v>
      </c>
      <c r="C5" s="1" t="s">
        <v>77</v>
      </c>
      <c r="D5" s="1">
        <v>34</v>
      </c>
    </row>
    <row r="6" spans="1:9">
      <c r="A6" s="1" t="s">
        <v>55</v>
      </c>
      <c r="B6" s="1" t="s">
        <v>83</v>
      </c>
      <c r="C6" s="1" t="s">
        <v>84</v>
      </c>
      <c r="D6" s="1">
        <v>7</v>
      </c>
      <c r="F6" t="s">
        <v>50</v>
      </c>
      <c r="G6" t="s">
        <v>74</v>
      </c>
      <c r="H6" t="s">
        <v>8</v>
      </c>
      <c r="I6" t="s">
        <v>75</v>
      </c>
    </row>
    <row r="7" spans="1:9">
      <c r="A7" s="1" t="s">
        <v>59</v>
      </c>
      <c r="B7" s="1" t="s">
        <v>85</v>
      </c>
      <c r="C7" s="1" t="s">
        <v>77</v>
      </c>
      <c r="D7" s="1">
        <v>98</v>
      </c>
      <c r="F7" t="str" cm="1">
        <f t="array" ref="F7:I9">_xlfn._xlws.FILTER(A1:D15,A1:A15=G3)</f>
        <v>East</v>
      </c>
      <c r="G7" t="str">
        <v>Gh</v>
      </c>
      <c r="H7" t="str">
        <v>Apple</v>
      </c>
      <c r="I7">
        <v>53</v>
      </c>
    </row>
    <row r="8" spans="1:9">
      <c r="A8" s="1" t="s">
        <v>63</v>
      </c>
      <c r="B8" s="1" t="s">
        <v>86</v>
      </c>
      <c r="C8" s="1" t="s">
        <v>87</v>
      </c>
      <c r="D8" s="1">
        <v>34</v>
      </c>
      <c r="F8" t="str">
        <v>East</v>
      </c>
      <c r="G8" t="str">
        <v>We</v>
      </c>
      <c r="H8" t="str">
        <v>Anaar</v>
      </c>
      <c r="I8">
        <v>7</v>
      </c>
    </row>
    <row r="9" spans="1:9">
      <c r="A9" s="1" t="s">
        <v>66</v>
      </c>
      <c r="B9" s="1" t="s">
        <v>76</v>
      </c>
      <c r="C9" s="1" t="s">
        <v>88</v>
      </c>
      <c r="D9" s="1">
        <v>12</v>
      </c>
      <c r="F9" t="str">
        <v>East</v>
      </c>
      <c r="G9" t="str">
        <v>Op</v>
      </c>
      <c r="H9" t="str">
        <v>Apple</v>
      </c>
      <c r="I9">
        <v>43</v>
      </c>
    </row>
    <row r="10" spans="1:9">
      <c r="A10" s="1" t="s">
        <v>55</v>
      </c>
      <c r="B10" s="1" t="s">
        <v>89</v>
      </c>
      <c r="C10" s="1" t="s">
        <v>77</v>
      </c>
      <c r="D10" s="1">
        <v>43</v>
      </c>
    </row>
    <row r="11" spans="1:9">
      <c r="A11" s="1" t="s">
        <v>59</v>
      </c>
      <c r="B11" s="1" t="s">
        <v>90</v>
      </c>
      <c r="C11" s="1" t="s">
        <v>91</v>
      </c>
      <c r="D11" s="1">
        <v>18</v>
      </c>
    </row>
    <row r="12" spans="1:9">
      <c r="A12" s="1" t="s">
        <v>63</v>
      </c>
      <c r="B12" s="1" t="s">
        <v>92</v>
      </c>
      <c r="C12" s="1" t="s">
        <v>93</v>
      </c>
      <c r="D12" s="1">
        <v>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2" sqref="D2"/>
    </sheetView>
  </sheetViews>
  <sheetFormatPr defaultColWidth="8.72727272727273" defaultRowHeight="14.5" outlineLevelRow="6" outlineLevelCol="3"/>
  <sheetData>
    <row r="1" spans="1:4">
      <c r="A1" t="s">
        <v>94</v>
      </c>
      <c r="D1" t="s">
        <v>95</v>
      </c>
    </row>
    <row r="2" spans="1:4">
      <c r="A2" t="s">
        <v>96</v>
      </c>
      <c r="D2" t="str">
        <f t="shared" ref="D2:D7" si="0">TRIM(A2)</f>
        <v>Sundram rana</v>
      </c>
    </row>
    <row r="3" spans="1:4">
      <c r="A3" t="s">
        <v>97</v>
      </c>
      <c r="D3" t="str">
        <f t="shared" si="0"/>
        <v>Aryan singh</v>
      </c>
    </row>
    <row r="4" spans="1:4">
      <c r="A4" t="s">
        <v>98</v>
      </c>
      <c r="D4" t="str">
        <f t="shared" si="0"/>
        <v>Achal singh</v>
      </c>
    </row>
    <row r="5" spans="1:4">
      <c r="A5" t="s">
        <v>99</v>
      </c>
      <c r="D5" t="str">
        <f t="shared" si="0"/>
        <v>Ram kumar</v>
      </c>
    </row>
    <row r="6" spans="1:4">
      <c r="A6" t="s">
        <v>100</v>
      </c>
      <c r="D6" t="str">
        <f t="shared" si="0"/>
        <v>yash pratap</v>
      </c>
    </row>
    <row r="7" spans="1:4">
      <c r="A7" t="s">
        <v>101</v>
      </c>
      <c r="D7" t="str">
        <f t="shared" si="0"/>
        <v>Prem kumar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2" sqref="B2"/>
    </sheetView>
  </sheetViews>
  <sheetFormatPr defaultColWidth="8.72727272727273" defaultRowHeight="14.5" outlineLevelRow="4" outlineLevelCol="4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/>
    </row>
    <row r="2" spans="1:5">
      <c r="A2" s="1" t="s">
        <v>106</v>
      </c>
      <c r="B2" s="1" t="str" cm="1">
        <f t="array" ref="B2:B5">UPPER(A2:A5)</f>
        <v>JGFVHSTUYBNNWKJ</v>
      </c>
      <c r="C2" s="1" t="str" cm="1">
        <f t="array" ref="C2:C5">LOWER(A2:A5)</f>
        <v>jgfvhstuybnnwkj</v>
      </c>
      <c r="D2" s="1" t="str" cm="1">
        <f t="array" ref="D2:D5">PROPER(A2:A5)</f>
        <v>Jgfvhstuybnnwkj</v>
      </c>
      <c r="E2" s="1"/>
    </row>
    <row r="3" spans="1:5">
      <c r="A3" s="1" t="s">
        <v>107</v>
      </c>
      <c r="B3" s="1" t="str">
        <v>GHFFRDSHNGYYUIGG</v>
      </c>
      <c r="C3" s="1" t="str">
        <v>ghffrdshngyyuigg</v>
      </c>
      <c r="D3" s="1" t="str">
        <v>Ghffrdshngyyuigg</v>
      </c>
      <c r="E3" s="1"/>
    </row>
    <row r="4" spans="1:5">
      <c r="A4" s="1" t="s">
        <v>108</v>
      </c>
      <c r="B4" s="1" t="str">
        <v>GUFFERHHGVGGGGBGE</v>
      </c>
      <c r="C4" s="1" t="str">
        <v>gufferhhgvggggbge</v>
      </c>
      <c r="D4" s="1" t="str">
        <v>Gufferhhgvggggbge</v>
      </c>
      <c r="E4" s="1"/>
    </row>
    <row r="5" spans="1:5">
      <c r="A5" s="1" t="s">
        <v>109</v>
      </c>
      <c r="B5" s="1" t="str">
        <v>FUTHYCGFDDGFWQ</v>
      </c>
      <c r="C5" s="1" t="str">
        <v>futhycgfddgfwq</v>
      </c>
      <c r="D5" s="1" t="str">
        <v>Futhycgfddgfwq</v>
      </c>
      <c r="E5" s="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" sqref="C2"/>
    </sheetView>
  </sheetViews>
  <sheetFormatPr defaultColWidth="8.72727272727273" defaultRowHeight="14.5" outlineLevelCol="2"/>
  <sheetData>
    <row r="1" spans="1:3">
      <c r="A1" t="s">
        <v>110</v>
      </c>
      <c r="C1" t="s">
        <v>111</v>
      </c>
    </row>
    <row r="2" spans="1:3">
      <c r="A2">
        <v>34</v>
      </c>
      <c r="C2" t="b">
        <f>AND(A2&gt;50,A2&lt;90)</f>
        <v>0</v>
      </c>
    </row>
    <row r="3" spans="1:3">
      <c r="A3">
        <v>78</v>
      </c>
      <c r="C3" t="b">
        <f t="shared" ref="C3:C11" si="0">AND(A3&gt;50,A3&lt;90)</f>
        <v>1</v>
      </c>
    </row>
    <row r="4" spans="1:3">
      <c r="A4">
        <v>13</v>
      </c>
      <c r="C4" t="b">
        <f t="shared" si="0"/>
        <v>0</v>
      </c>
    </row>
    <row r="5" spans="1:3">
      <c r="A5">
        <v>98</v>
      </c>
      <c r="C5" t="b">
        <f t="shared" si="0"/>
        <v>0</v>
      </c>
    </row>
    <row r="6" spans="1:3">
      <c r="A6">
        <v>78</v>
      </c>
      <c r="C6" t="b">
        <f t="shared" si="0"/>
        <v>1</v>
      </c>
    </row>
    <row r="7" spans="1:3">
      <c r="A7">
        <v>69</v>
      </c>
      <c r="C7" t="b">
        <f t="shared" si="0"/>
        <v>1</v>
      </c>
    </row>
    <row r="8" spans="1:3">
      <c r="A8">
        <v>88</v>
      </c>
      <c r="C8" t="b">
        <f t="shared" si="0"/>
        <v>1</v>
      </c>
    </row>
    <row r="9" spans="1:3">
      <c r="A9">
        <v>79</v>
      </c>
      <c r="C9" t="b">
        <f t="shared" si="0"/>
        <v>1</v>
      </c>
    </row>
    <row r="10" spans="1:3">
      <c r="A10">
        <v>95</v>
      </c>
      <c r="C10" t="b">
        <f t="shared" si="0"/>
        <v>0</v>
      </c>
    </row>
    <row r="11" spans="1:3">
      <c r="A11">
        <v>74</v>
      </c>
      <c r="C11" t="b">
        <f t="shared" si="0"/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" sqref="C2"/>
    </sheetView>
  </sheetViews>
  <sheetFormatPr defaultColWidth="8.72727272727273" defaultRowHeight="14.5" outlineLevelRow="7" outlineLevelCol="2"/>
  <sheetData>
    <row r="1" spans="1:3">
      <c r="A1" t="s">
        <v>112</v>
      </c>
      <c r="C1" t="s">
        <v>111</v>
      </c>
    </row>
    <row r="2" spans="1:3">
      <c r="A2" t="s">
        <v>113</v>
      </c>
      <c r="C2" t="b">
        <f>OR(A2="Red",A2="Blue")</f>
        <v>1</v>
      </c>
    </row>
    <row r="3" spans="1:3">
      <c r="A3" t="s">
        <v>114</v>
      </c>
      <c r="C3" t="b">
        <f t="shared" ref="C3:C8" si="0">OR(A3="Red",A3="Blue")</f>
        <v>0</v>
      </c>
    </row>
    <row r="4" spans="1:3">
      <c r="A4" t="s">
        <v>115</v>
      </c>
      <c r="C4" t="b">
        <f t="shared" si="0"/>
        <v>0</v>
      </c>
    </row>
    <row r="5" spans="1:3">
      <c r="A5" t="s">
        <v>116</v>
      </c>
      <c r="C5" t="b">
        <f t="shared" si="0"/>
        <v>0</v>
      </c>
    </row>
    <row r="6" spans="1:3">
      <c r="A6" t="s">
        <v>117</v>
      </c>
      <c r="C6" t="b">
        <f t="shared" si="0"/>
        <v>1</v>
      </c>
    </row>
    <row r="7" spans="1:3">
      <c r="A7" t="s">
        <v>118</v>
      </c>
      <c r="C7" t="b">
        <f t="shared" si="0"/>
        <v>0</v>
      </c>
    </row>
    <row r="8" spans="1:3">
      <c r="A8" t="s">
        <v>79</v>
      </c>
      <c r="C8" t="b">
        <f t="shared" si="0"/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2" sqref="B2"/>
    </sheetView>
  </sheetViews>
  <sheetFormatPr defaultColWidth="8.72727272727273" defaultRowHeight="14.5" outlineLevelRow="1" outlineLevelCol="4"/>
  <cols>
    <col min="1" max="1" width="15.9090909090909"/>
    <col min="2" max="2" width="10.2727272727273"/>
  </cols>
  <sheetData>
    <row r="1" spans="1:5">
      <c r="A1" t="s">
        <v>119</v>
      </c>
      <c r="B1" s="14" t="s">
        <v>120</v>
      </c>
      <c r="C1" t="s">
        <v>121</v>
      </c>
      <c r="D1" t="s">
        <v>122</v>
      </c>
      <c r="E1" t="s">
        <v>123</v>
      </c>
    </row>
    <row r="2" spans="1:5">
      <c r="A2" s="15">
        <f ca="1">NOW()</f>
        <v>46200.9083564815</v>
      </c>
      <c r="B2" s="16">
        <f ca="1">TODAY()</f>
        <v>46200</v>
      </c>
      <c r="C2">
        <f ca="1">DAY(TODAY())</f>
        <v>27</v>
      </c>
      <c r="D2">
        <f ca="1">MONTH(TODAY())</f>
        <v>6</v>
      </c>
      <c r="E2">
        <f ca="1">YEAR(TODAY())</f>
        <v>2026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2" sqref="D2"/>
    </sheetView>
  </sheetViews>
  <sheetFormatPr defaultColWidth="8.72727272727273" defaultRowHeight="14.5" outlineLevelRow="7" outlineLevelCol="1"/>
  <sheetData>
    <row r="1" spans="1:2">
      <c r="A1" t="s">
        <v>110</v>
      </c>
      <c r="B1" t="s">
        <v>124</v>
      </c>
    </row>
    <row r="2" spans="1:2">
      <c r="A2">
        <v>456</v>
      </c>
      <c r="B2" t="s">
        <v>125</v>
      </c>
    </row>
    <row r="3" spans="1:2">
      <c r="A3">
        <v>642</v>
      </c>
      <c r="B3" t="s">
        <v>126</v>
      </c>
    </row>
    <row r="4" spans="1:2">
      <c r="A4">
        <v>575</v>
      </c>
      <c r="B4" t="s">
        <v>127</v>
      </c>
    </row>
    <row r="5" spans="1:2">
      <c r="A5">
        <v>935</v>
      </c>
      <c r="B5" t="s">
        <v>128</v>
      </c>
    </row>
    <row r="6" spans="1:2">
      <c r="A6">
        <v>223</v>
      </c>
      <c r="B6" t="s">
        <v>129</v>
      </c>
    </row>
    <row r="7" spans="1:2">
      <c r="A7">
        <v>578</v>
      </c>
      <c r="B7" t="s">
        <v>130</v>
      </c>
    </row>
    <row r="8" spans="1:2">
      <c r="A8">
        <v>908</v>
      </c>
      <c r="B8" t="s">
        <v>131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B10"/>
    </sheetView>
  </sheetViews>
  <sheetFormatPr defaultColWidth="8.72727272727273" defaultRowHeight="14.5" outlineLevelCol="2"/>
  <sheetData>
    <row r="1" spans="1:3">
      <c r="A1" t="s">
        <v>124</v>
      </c>
      <c r="B1" t="s">
        <v>132</v>
      </c>
      <c r="C1" t="s">
        <v>133</v>
      </c>
    </row>
    <row r="2" spans="1:3">
      <c r="A2" t="s">
        <v>46</v>
      </c>
      <c r="B2" t="s">
        <v>134</v>
      </c>
      <c r="C2">
        <v>2005</v>
      </c>
    </row>
    <row r="3" spans="1:3">
      <c r="A3" t="s">
        <v>135</v>
      </c>
      <c r="B3" t="s">
        <v>136</v>
      </c>
      <c r="C3">
        <v>2006</v>
      </c>
    </row>
    <row r="4" spans="1:3">
      <c r="A4" t="s">
        <v>137</v>
      </c>
      <c r="B4" t="s">
        <v>136</v>
      </c>
      <c r="C4">
        <v>1998</v>
      </c>
    </row>
    <row r="5" spans="1:3">
      <c r="A5" t="s">
        <v>138</v>
      </c>
      <c r="B5" t="s">
        <v>136</v>
      </c>
      <c r="C5">
        <v>1900</v>
      </c>
    </row>
    <row r="6" spans="1:3">
      <c r="A6" t="s">
        <v>139</v>
      </c>
      <c r="B6" t="s">
        <v>134</v>
      </c>
      <c r="C6">
        <v>1988</v>
      </c>
    </row>
    <row r="7" spans="1:3">
      <c r="A7" t="s">
        <v>140</v>
      </c>
      <c r="B7" t="s">
        <v>141</v>
      </c>
      <c r="C7">
        <v>2003</v>
      </c>
    </row>
    <row r="8" spans="1:3">
      <c r="A8" t="s">
        <v>142</v>
      </c>
      <c r="B8" t="s">
        <v>136</v>
      </c>
      <c r="C8">
        <v>2004</v>
      </c>
    </row>
    <row r="9" spans="1:3">
      <c r="A9" t="s">
        <v>143</v>
      </c>
      <c r="B9" t="s">
        <v>134</v>
      </c>
      <c r="C9">
        <v>2009</v>
      </c>
    </row>
    <row r="10" spans="1:3">
      <c r="A10" t="s">
        <v>144</v>
      </c>
      <c r="B10" t="s">
        <v>136</v>
      </c>
      <c r="C10">
        <v>2003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A10"/>
    </sheetView>
  </sheetViews>
  <sheetFormatPr defaultColWidth="8.72727272727273" defaultRowHeight="14.5" outlineLevelCol="2"/>
  <sheetData>
    <row r="1" spans="1:3">
      <c r="A1" t="s">
        <v>124</v>
      </c>
      <c r="B1" t="s">
        <v>132</v>
      </c>
      <c r="C1" t="s">
        <v>124</v>
      </c>
    </row>
    <row r="2" spans="1:3">
      <c r="A2" t="s">
        <v>46</v>
      </c>
      <c r="B2" t="s">
        <v>134</v>
      </c>
      <c r="C2" t="s">
        <v>125</v>
      </c>
    </row>
    <row r="3" spans="1:3">
      <c r="A3" t="s">
        <v>135</v>
      </c>
      <c r="B3" t="s">
        <v>136</v>
      </c>
      <c r="C3" s="13" t="s">
        <v>126</v>
      </c>
    </row>
    <row r="4" spans="1:3">
      <c r="A4" t="s">
        <v>137</v>
      </c>
      <c r="B4" t="s">
        <v>136</v>
      </c>
      <c r="C4" s="13" t="s">
        <v>127</v>
      </c>
    </row>
    <row r="5" spans="1:3">
      <c r="A5" t="s">
        <v>138</v>
      </c>
      <c r="B5" t="s">
        <v>136</v>
      </c>
      <c r="C5" s="13" t="s">
        <v>128</v>
      </c>
    </row>
    <row r="6" spans="1:3">
      <c r="A6" t="s">
        <v>139</v>
      </c>
      <c r="B6" t="s">
        <v>134</v>
      </c>
      <c r="C6" s="13" t="s">
        <v>129</v>
      </c>
    </row>
    <row r="7" spans="1:3">
      <c r="A7" t="s">
        <v>140</v>
      </c>
      <c r="B7" t="s">
        <v>141</v>
      </c>
      <c r="C7" s="13" t="s">
        <v>130</v>
      </c>
    </row>
    <row r="8" spans="1:3">
      <c r="A8" t="s">
        <v>142</v>
      </c>
      <c r="B8" t="s">
        <v>136</v>
      </c>
      <c r="C8" s="13" t="s">
        <v>131</v>
      </c>
    </row>
    <row r="9" spans="1:3">
      <c r="A9" t="s">
        <v>143</v>
      </c>
      <c r="B9" t="s">
        <v>134</v>
      </c>
      <c r="C9" s="13" t="s">
        <v>145</v>
      </c>
    </row>
    <row r="10" spans="1:3">
      <c r="A10" t="s">
        <v>144</v>
      </c>
      <c r="B10" t="s">
        <v>136</v>
      </c>
      <c r="C10" s="13" t="s">
        <v>146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:F15"/>
    </sheetView>
  </sheetViews>
  <sheetFormatPr defaultColWidth="8.72727272727273" defaultRowHeight="14.5"/>
  <sheetData>
    <row r="1" spans="1:14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4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  <c r="I2" t="str" cm="1">
        <f t="array" ref="I2:I11">_xlfn.UNIQUE(A1:A15)</f>
        <v>ID</v>
      </c>
      <c r="J2" t="str" cm="1">
        <f t="array" ref="J2:J8">_xlfn.UNIQUE(B1:B15)</f>
        <v>COMPANY</v>
      </c>
      <c r="K2" t="str" cm="1">
        <f t="array" ref="K2:K7">_xlfn.UNIQUE(C1:C15)</f>
        <v>ITEM</v>
      </c>
      <c r="L2" t="str" cm="1">
        <f t="array" ref="L2:L10">_xlfn.UNIQUE(D1:D15)</f>
        <v>RATE</v>
      </c>
      <c r="M2" t="str" cm="1">
        <f t="array" ref="M2:M8">_xlfn.UNIQUE(E1:E15)</f>
        <v>QTY</v>
      </c>
      <c r="N2" t="str" cm="1">
        <f t="array" ref="N2:N11">_xlfn.UNIQUE(F1:F15)</f>
        <v>TOTAL</v>
      </c>
    </row>
    <row r="3" spans="1:14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  <c r="I3">
        <v>100</v>
      </c>
      <c r="J3" t="str">
        <v>Samsung</v>
      </c>
      <c r="K3" t="str">
        <v>Keyboard</v>
      </c>
      <c r="L3">
        <v>124</v>
      </c>
      <c r="M3">
        <v>3</v>
      </c>
      <c r="N3">
        <v>33000</v>
      </c>
    </row>
    <row r="4" spans="1:14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  <c r="I4">
        <v>101</v>
      </c>
      <c r="J4" t="str">
        <v>Intel</v>
      </c>
      <c r="K4" t="str">
        <v>Mouse</v>
      </c>
      <c r="L4">
        <v>522</v>
      </c>
      <c r="M4">
        <v>8</v>
      </c>
      <c r="N4">
        <v>59000</v>
      </c>
    </row>
    <row r="5" spans="1:14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  <c r="I5">
        <v>102</v>
      </c>
      <c r="J5" t="str">
        <v>Hp</v>
      </c>
      <c r="K5" t="str">
        <v>Cpu</v>
      </c>
      <c r="L5">
        <v>765</v>
      </c>
      <c r="M5">
        <v>9</v>
      </c>
      <c r="N5">
        <v>22680</v>
      </c>
    </row>
    <row r="6" spans="1:14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  <c r="I6">
        <v>103</v>
      </c>
      <c r="J6" t="str">
        <v>Dell</v>
      </c>
      <c r="K6" t="str">
        <v>Monitor</v>
      </c>
      <c r="L6">
        <v>728</v>
      </c>
      <c r="M6">
        <v>4</v>
      </c>
      <c r="N6">
        <v>50000</v>
      </c>
    </row>
    <row r="7" spans="1:14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  <c r="I7">
        <v>104</v>
      </c>
      <c r="J7" t="str">
        <v>Lava</v>
      </c>
      <c r="K7" t="str">
        <v>Speaker</v>
      </c>
      <c r="L7">
        <v>255</v>
      </c>
      <c r="M7">
        <v>7</v>
      </c>
      <c r="N7">
        <v>2100</v>
      </c>
    </row>
    <row r="8" spans="1:14">
      <c r="A8">
        <v>106</v>
      </c>
      <c r="B8" t="s">
        <v>34</v>
      </c>
      <c r="C8" t="s">
        <v>35</v>
      </c>
      <c r="D8">
        <v>168</v>
      </c>
      <c r="E8">
        <v>2</v>
      </c>
      <c r="F8">
        <v>3000</v>
      </c>
      <c r="I8">
        <v>105</v>
      </c>
      <c r="J8" t="str">
        <v>Iphone</v>
      </c>
      <c r="L8">
        <v>168</v>
      </c>
      <c r="M8">
        <v>2</v>
      </c>
      <c r="N8">
        <v>3000</v>
      </c>
    </row>
    <row r="9" spans="1:14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  <c r="I9">
        <v>106</v>
      </c>
      <c r="L9">
        <v>664</v>
      </c>
      <c r="N9">
        <v>58885</v>
      </c>
    </row>
    <row r="10" spans="1:14">
      <c r="A10">
        <v>108</v>
      </c>
      <c r="B10" t="s">
        <v>31</v>
      </c>
      <c r="C10" t="s">
        <v>30</v>
      </c>
      <c r="D10">
        <v>908</v>
      </c>
      <c r="E10">
        <v>8</v>
      </c>
      <c r="F10">
        <v>6321</v>
      </c>
      <c r="I10">
        <v>107</v>
      </c>
      <c r="L10">
        <v>908</v>
      </c>
      <c r="N10">
        <v>6321</v>
      </c>
    </row>
    <row r="11" spans="1:14">
      <c r="A11">
        <v>102</v>
      </c>
      <c r="B11" t="s">
        <v>20</v>
      </c>
      <c r="C11" t="s">
        <v>147</v>
      </c>
      <c r="D11">
        <v>255</v>
      </c>
      <c r="E11">
        <v>7</v>
      </c>
      <c r="F11">
        <v>2100</v>
      </c>
      <c r="I11">
        <v>108</v>
      </c>
      <c r="N11">
        <v>18900</v>
      </c>
    </row>
    <row r="12" spans="1:14">
      <c r="A12">
        <v>105</v>
      </c>
      <c r="B12" t="s">
        <v>20</v>
      </c>
      <c r="C12" t="s">
        <v>33</v>
      </c>
      <c r="D12">
        <v>908</v>
      </c>
      <c r="E12">
        <v>3</v>
      </c>
      <c r="F12">
        <v>59000</v>
      </c>
    </row>
    <row r="13" spans="1:14">
      <c r="A13">
        <v>106</v>
      </c>
      <c r="B13" t="s">
        <v>148</v>
      </c>
      <c r="C13" t="s">
        <v>147</v>
      </c>
      <c r="D13">
        <v>728</v>
      </c>
      <c r="E13">
        <v>4</v>
      </c>
      <c r="F13">
        <v>18900</v>
      </c>
    </row>
    <row r="14" spans="1:14">
      <c r="A14">
        <v>107</v>
      </c>
      <c r="B14" t="s">
        <v>18</v>
      </c>
      <c r="C14" t="s">
        <v>32</v>
      </c>
      <c r="D14">
        <v>522</v>
      </c>
      <c r="E14">
        <v>9</v>
      </c>
      <c r="F14">
        <v>6321</v>
      </c>
    </row>
    <row r="15" spans="1:14">
      <c r="A15">
        <v>108</v>
      </c>
      <c r="B15" t="s">
        <v>148</v>
      </c>
      <c r="C15" t="s">
        <v>30</v>
      </c>
      <c r="D15">
        <v>664</v>
      </c>
      <c r="E15">
        <v>2</v>
      </c>
      <c r="F15">
        <v>50000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="85" zoomScaleNormal="85" topLeftCell="B1" workbookViewId="0">
      <selection activeCell="I4" sqref="I4"/>
    </sheetView>
  </sheetViews>
  <sheetFormatPr defaultColWidth="8.72727272727273" defaultRowHeight="14.5"/>
  <sheetData>
    <row r="1" spans="1:19">
      <c r="A1" t="s">
        <v>24</v>
      </c>
      <c r="B1" t="s">
        <v>149</v>
      </c>
      <c r="C1" t="s">
        <v>26</v>
      </c>
      <c r="D1" t="s">
        <v>2</v>
      </c>
      <c r="E1" t="s">
        <v>150</v>
      </c>
      <c r="F1" t="s">
        <v>151</v>
      </c>
      <c r="G1" t="s">
        <v>74</v>
      </c>
    </row>
    <row r="2" spans="1:19">
      <c r="A2">
        <v>100</v>
      </c>
      <c r="B2" t="s">
        <v>46</v>
      </c>
      <c r="C2" t="s">
        <v>30</v>
      </c>
      <c r="D2">
        <v>3</v>
      </c>
      <c r="E2" t="s">
        <v>6</v>
      </c>
      <c r="F2" t="s">
        <v>152</v>
      </c>
      <c r="G2">
        <v>80000</v>
      </c>
      <c r="K2" t="s">
        <v>149</v>
      </c>
      <c r="L2" t="s">
        <v>74</v>
      </c>
      <c r="M2" t="s">
        <v>151</v>
      </c>
      <c r="N2" t="s">
        <v>150</v>
      </c>
      <c r="O2" t="s">
        <v>26</v>
      </c>
    </row>
    <row r="3" spans="1:19">
      <c r="A3">
        <v>101</v>
      </c>
      <c r="B3" t="s">
        <v>135</v>
      </c>
      <c r="C3" t="s">
        <v>153</v>
      </c>
      <c r="D3">
        <v>8</v>
      </c>
      <c r="E3" t="s">
        <v>6</v>
      </c>
      <c r="F3" t="s">
        <v>152</v>
      </c>
      <c r="G3">
        <v>12809</v>
      </c>
      <c r="K3" t="s">
        <v>154</v>
      </c>
    </row>
    <row r="4" spans="1:19">
      <c r="A4">
        <v>102</v>
      </c>
      <c r="B4" t="s">
        <v>137</v>
      </c>
      <c r="C4" t="s">
        <v>32</v>
      </c>
      <c r="D4">
        <v>9</v>
      </c>
      <c r="E4" t="s">
        <v>155</v>
      </c>
      <c r="F4" t="s">
        <v>17</v>
      </c>
      <c r="G4">
        <v>35890</v>
      </c>
      <c r="L4">
        <v>56667</v>
      </c>
    </row>
    <row r="5" spans="1:19">
      <c r="A5">
        <v>103</v>
      </c>
      <c r="B5" t="s">
        <v>138</v>
      </c>
      <c r="C5" t="s">
        <v>33</v>
      </c>
      <c r="D5">
        <v>4</v>
      </c>
      <c r="E5" t="s">
        <v>156</v>
      </c>
      <c r="F5" t="s">
        <v>157</v>
      </c>
      <c r="G5">
        <v>44444</v>
      </c>
      <c r="M5" t="s">
        <v>157</v>
      </c>
      <c r="Q5" s="4"/>
      <c r="R5" s="5"/>
      <c r="S5" s="6"/>
    </row>
    <row r="6" spans="1:19">
      <c r="A6">
        <v>104</v>
      </c>
      <c r="B6" t="s">
        <v>154</v>
      </c>
      <c r="C6" t="s">
        <v>13</v>
      </c>
      <c r="D6">
        <v>7</v>
      </c>
      <c r="E6" t="s">
        <v>156</v>
      </c>
      <c r="F6" t="s">
        <v>157</v>
      </c>
      <c r="G6">
        <v>56667</v>
      </c>
      <c r="N6" t="s">
        <v>156</v>
      </c>
      <c r="Q6" s="7"/>
      <c r="R6" s="8"/>
      <c r="S6" s="9"/>
    </row>
    <row r="7" spans="1:19">
      <c r="A7">
        <v>105</v>
      </c>
      <c r="B7" t="s">
        <v>140</v>
      </c>
      <c r="C7" t="s">
        <v>35</v>
      </c>
      <c r="D7">
        <v>2</v>
      </c>
      <c r="E7" t="s">
        <v>155</v>
      </c>
      <c r="F7" t="s">
        <v>17</v>
      </c>
      <c r="G7">
        <v>12589</v>
      </c>
      <c r="O7" t="s">
        <v>13</v>
      </c>
      <c r="Q7" s="7"/>
      <c r="R7" s="8"/>
      <c r="S7" s="9"/>
    </row>
    <row r="8" spans="1:19">
      <c r="A8">
        <v>106</v>
      </c>
      <c r="B8" t="s">
        <v>142</v>
      </c>
      <c r="C8" t="s">
        <v>158</v>
      </c>
      <c r="D8">
        <v>2</v>
      </c>
      <c r="E8" t="s">
        <v>156</v>
      </c>
      <c r="F8" t="s">
        <v>152</v>
      </c>
      <c r="G8">
        <v>90890</v>
      </c>
      <c r="K8" t="s">
        <v>46</v>
      </c>
      <c r="Q8" s="7"/>
      <c r="R8" s="8"/>
      <c r="S8" s="9"/>
    </row>
    <row r="9" spans="1:19">
      <c r="A9">
        <v>107</v>
      </c>
      <c r="B9" t="s">
        <v>159</v>
      </c>
      <c r="C9" t="s">
        <v>5</v>
      </c>
      <c r="D9">
        <v>9</v>
      </c>
      <c r="E9" t="s">
        <v>6</v>
      </c>
      <c r="F9" t="s">
        <v>17</v>
      </c>
      <c r="G9">
        <v>35679</v>
      </c>
      <c r="L9">
        <v>80000</v>
      </c>
      <c r="Q9" s="7"/>
      <c r="R9" s="8"/>
      <c r="S9" s="9"/>
    </row>
    <row r="10" spans="1:19">
      <c r="A10">
        <v>108</v>
      </c>
      <c r="B10" t="s">
        <v>144</v>
      </c>
      <c r="C10" t="s">
        <v>18</v>
      </c>
      <c r="D10">
        <v>8</v>
      </c>
      <c r="E10" t="s">
        <v>155</v>
      </c>
      <c r="F10" t="s">
        <v>17</v>
      </c>
      <c r="G10">
        <v>45623</v>
      </c>
      <c r="M10" t="s">
        <v>152</v>
      </c>
      <c r="Q10" s="7"/>
      <c r="R10" s="8"/>
      <c r="S10" s="9"/>
    </row>
    <row r="11" spans="1:19">
      <c r="A11">
        <v>109</v>
      </c>
      <c r="B11" t="s">
        <v>160</v>
      </c>
      <c r="C11" t="s">
        <v>147</v>
      </c>
      <c r="D11">
        <v>7</v>
      </c>
      <c r="E11" t="s">
        <v>155</v>
      </c>
      <c r="F11" t="s">
        <v>157</v>
      </c>
      <c r="G11">
        <v>90833</v>
      </c>
      <c r="N11" t="s">
        <v>6</v>
      </c>
      <c r="Q11" s="7"/>
      <c r="R11" s="8"/>
      <c r="S11" s="9"/>
    </row>
    <row r="12" spans="1:19">
      <c r="A12">
        <v>110</v>
      </c>
      <c r="B12" t="s">
        <v>161</v>
      </c>
      <c r="C12" t="s">
        <v>162</v>
      </c>
      <c r="D12">
        <v>3</v>
      </c>
      <c r="E12" t="s">
        <v>6</v>
      </c>
      <c r="F12" t="s">
        <v>152</v>
      </c>
      <c r="G12">
        <v>22290</v>
      </c>
      <c r="O12" t="s">
        <v>30</v>
      </c>
      <c r="Q12" s="7"/>
      <c r="R12" s="8"/>
      <c r="S12" s="9"/>
    </row>
    <row r="13" spans="1:19">
      <c r="K13" t="s">
        <v>138</v>
      </c>
      <c r="Q13" s="7"/>
      <c r="R13" s="8"/>
      <c r="S13" s="9"/>
    </row>
    <row r="14" spans="1:19">
      <c r="L14">
        <v>44444</v>
      </c>
      <c r="Q14" s="7"/>
      <c r="R14" s="8"/>
      <c r="S14" s="9"/>
    </row>
    <row r="15" spans="1:19">
      <c r="M15" t="s">
        <v>157</v>
      </c>
      <c r="Q15" s="7"/>
      <c r="R15" s="8"/>
      <c r="S15" s="9"/>
    </row>
    <row r="16" spans="1:19">
      <c r="B16" t="s">
        <v>151</v>
      </c>
      <c r="C16" t="s">
        <v>74</v>
      </c>
      <c r="F16" t="s">
        <v>151</v>
      </c>
      <c r="G16" t="s">
        <v>163</v>
      </c>
      <c r="N16" t="s">
        <v>156</v>
      </c>
      <c r="Q16" s="7"/>
      <c r="R16" s="8"/>
      <c r="S16" s="9"/>
    </row>
    <row r="17" spans="2:19">
      <c r="B17" t="s">
        <v>152</v>
      </c>
      <c r="C17">
        <v>80000</v>
      </c>
      <c r="F17" t="s">
        <v>17</v>
      </c>
      <c r="G17" s="3">
        <v>0.148061666921068</v>
      </c>
      <c r="O17" t="s">
        <v>33</v>
      </c>
      <c r="Q17" s="7"/>
      <c r="R17" s="8"/>
      <c r="S17" s="9"/>
    </row>
    <row r="18" spans="2:19">
      <c r="B18" t="s">
        <v>164</v>
      </c>
      <c r="C18">
        <v>12809</v>
      </c>
      <c r="F18" t="s">
        <v>7</v>
      </c>
      <c r="G18" s="3">
        <v>0.0519350327352836</v>
      </c>
      <c r="K18" t="s">
        <v>144</v>
      </c>
      <c r="Q18" s="7"/>
      <c r="R18" s="8"/>
      <c r="S18" s="9"/>
    </row>
    <row r="19" spans="2:19">
      <c r="B19" t="s">
        <v>17</v>
      </c>
      <c r="C19">
        <v>35890</v>
      </c>
      <c r="F19" t="s">
        <v>164</v>
      </c>
      <c r="G19" s="3">
        <v>0.0528426272385612</v>
      </c>
      <c r="L19">
        <v>45623</v>
      </c>
      <c r="Q19" s="7"/>
      <c r="R19" s="8"/>
      <c r="S19" s="9"/>
    </row>
    <row r="20" spans="2:19">
      <c r="B20" t="s">
        <v>157</v>
      </c>
      <c r="C20">
        <v>44444</v>
      </c>
      <c r="F20" t="s">
        <v>19</v>
      </c>
      <c r="G20" s="3">
        <v>0.233775716896522</v>
      </c>
      <c r="M20" t="s">
        <v>17</v>
      </c>
      <c r="Q20" s="7"/>
      <c r="R20" s="8"/>
      <c r="S20" s="9"/>
    </row>
    <row r="21" spans="2:19">
      <c r="B21" t="s">
        <v>19</v>
      </c>
      <c r="C21">
        <v>56667</v>
      </c>
      <c r="F21" t="s">
        <v>157</v>
      </c>
      <c r="G21" s="3">
        <v>0.183350591380327</v>
      </c>
      <c r="N21" t="s">
        <v>155</v>
      </c>
      <c r="Q21" s="7"/>
      <c r="R21" s="8"/>
      <c r="S21" s="9"/>
    </row>
    <row r="22" spans="2:19">
      <c r="B22" t="s">
        <v>7</v>
      </c>
      <c r="C22">
        <v>12589</v>
      </c>
      <c r="F22" t="s">
        <v>152</v>
      </c>
      <c r="G22" s="3">
        <v>0.330034364828238</v>
      </c>
      <c r="O22" t="s">
        <v>18</v>
      </c>
      <c r="Q22" s="10"/>
      <c r="R22" s="11"/>
      <c r="S22" s="12"/>
    </row>
    <row r="23" spans="2:19">
      <c r="F23" t="s">
        <v>165</v>
      </c>
      <c r="G23" s="3">
        <v>1</v>
      </c>
      <c r="K23" t="s">
        <v>165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I5" sqref="I5"/>
    </sheetView>
  </sheetViews>
  <sheetFormatPr defaultColWidth="8.72727272727273" defaultRowHeight="14.5" outlineLevelCol="5"/>
  <cols>
    <col min="3" max="5" width="8.72727272727273" outlineLevel="2"/>
    <col min="7" max="7" width="8.72727272727273" hidden="1" outlineLevel="1"/>
    <col min="8" max="8" width="8.72727272727273" collapsed="1"/>
  </cols>
  <sheetData>
    <row r="1" spans="1:6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6">
      <c r="A2" t="s">
        <v>46</v>
      </c>
      <c r="B2" t="s">
        <v>30</v>
      </c>
      <c r="C2">
        <v>3</v>
      </c>
      <c r="D2" t="s">
        <v>6</v>
      </c>
      <c r="E2" t="s">
        <v>152</v>
      </c>
      <c r="F2">
        <v>80000</v>
      </c>
    </row>
    <row r="3" outlineLevel="1" spans="1:6">
      <c r="A3" t="s">
        <v>135</v>
      </c>
      <c r="B3" t="s">
        <v>153</v>
      </c>
      <c r="C3">
        <v>8</v>
      </c>
      <c r="D3" t="s">
        <v>6</v>
      </c>
      <c r="E3" t="s">
        <v>152</v>
      </c>
      <c r="F3">
        <v>12809</v>
      </c>
    </row>
    <row r="4" outlineLevel="1" spans="1:6">
      <c r="A4" t="s">
        <v>137</v>
      </c>
      <c r="B4" t="s">
        <v>32</v>
      </c>
      <c r="C4">
        <v>9</v>
      </c>
      <c r="D4" t="s">
        <v>155</v>
      </c>
      <c r="E4" t="s">
        <v>17</v>
      </c>
      <c r="F4">
        <v>35890</v>
      </c>
    </row>
    <row r="5" outlineLevel="1" spans="1:6">
      <c r="A5" t="s">
        <v>138</v>
      </c>
      <c r="B5" t="s">
        <v>33</v>
      </c>
      <c r="C5">
        <v>4</v>
      </c>
      <c r="D5" t="s">
        <v>156</v>
      </c>
      <c r="E5" t="s">
        <v>157</v>
      </c>
      <c r="F5">
        <v>44444</v>
      </c>
    </row>
    <row r="6" spans="1:6">
      <c r="A6" t="s">
        <v>154</v>
      </c>
      <c r="B6" t="s">
        <v>13</v>
      </c>
      <c r="C6">
        <v>7</v>
      </c>
      <c r="D6" t="s">
        <v>156</v>
      </c>
      <c r="E6" t="s">
        <v>157</v>
      </c>
      <c r="F6">
        <v>56667</v>
      </c>
    </row>
    <row r="7" spans="1:6">
      <c r="A7" t="s">
        <v>140</v>
      </c>
      <c r="B7" t="s">
        <v>35</v>
      </c>
      <c r="C7">
        <v>2</v>
      </c>
      <c r="D7" t="s">
        <v>155</v>
      </c>
      <c r="E7" t="s">
        <v>17</v>
      </c>
      <c r="F7">
        <v>12589</v>
      </c>
    </row>
    <row r="8" spans="1:6">
      <c r="A8" t="s">
        <v>142</v>
      </c>
      <c r="B8" t="s">
        <v>158</v>
      </c>
      <c r="C8">
        <v>2</v>
      </c>
      <c r="D8" t="s">
        <v>156</v>
      </c>
      <c r="E8" t="s">
        <v>152</v>
      </c>
      <c r="F8">
        <v>90890</v>
      </c>
    </row>
    <row r="9" spans="1:6">
      <c r="A9" t="s">
        <v>159</v>
      </c>
      <c r="B9" t="s">
        <v>5</v>
      </c>
      <c r="C9">
        <v>9</v>
      </c>
      <c r="D9" t="s">
        <v>6</v>
      </c>
      <c r="E9" t="s">
        <v>17</v>
      </c>
      <c r="F9">
        <v>35679</v>
      </c>
    </row>
    <row r="10" outlineLevel="1" spans="1:6">
      <c r="A10" t="s">
        <v>144</v>
      </c>
      <c r="B10" t="s">
        <v>18</v>
      </c>
      <c r="C10">
        <v>8</v>
      </c>
      <c r="D10" t="s">
        <v>155</v>
      </c>
      <c r="E10" t="s">
        <v>17</v>
      </c>
      <c r="F10">
        <v>45623</v>
      </c>
    </row>
    <row r="11" outlineLevel="1" spans="1:6">
      <c r="A11" t="s">
        <v>160</v>
      </c>
      <c r="B11" t="s">
        <v>147</v>
      </c>
      <c r="C11">
        <v>7</v>
      </c>
      <c r="D11" t="s">
        <v>155</v>
      </c>
      <c r="E11" t="s">
        <v>157</v>
      </c>
      <c r="F11">
        <v>90833</v>
      </c>
    </row>
    <row r="12" outlineLevel="1" spans="1:6">
      <c r="A12" t="s">
        <v>161</v>
      </c>
      <c r="B12" t="s">
        <v>162</v>
      </c>
      <c r="C12">
        <v>3</v>
      </c>
      <c r="D12" t="s">
        <v>6</v>
      </c>
      <c r="E12" t="s">
        <v>152</v>
      </c>
      <c r="F12">
        <v>22290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I13" sqref="I13"/>
    </sheetView>
  </sheetViews>
  <sheetFormatPr defaultColWidth="8.72727272727273" defaultRowHeight="14.5" outlineLevelCol="5"/>
  <sheetData>
    <row r="1" spans="1:6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6">
      <c r="A2" t="s">
        <v>46</v>
      </c>
      <c r="B2" t="s">
        <v>30</v>
      </c>
      <c r="C2">
        <v>3</v>
      </c>
      <c r="D2" t="s">
        <v>6</v>
      </c>
      <c r="E2" t="s">
        <v>152</v>
      </c>
      <c r="F2">
        <v>80000</v>
      </c>
    </row>
    <row r="3" spans="1:6">
      <c r="A3" t="s">
        <v>135</v>
      </c>
      <c r="B3" t="s">
        <v>153</v>
      </c>
      <c r="C3">
        <v>8</v>
      </c>
      <c r="D3" t="s">
        <v>6</v>
      </c>
      <c r="E3" t="s">
        <v>152</v>
      </c>
      <c r="F3">
        <v>12809</v>
      </c>
    </row>
    <row r="4" spans="1:6">
      <c r="A4" t="s">
        <v>137</v>
      </c>
      <c r="B4" t="s">
        <v>32</v>
      </c>
      <c r="C4">
        <v>9</v>
      </c>
      <c r="D4" t="s">
        <v>155</v>
      </c>
      <c r="E4" t="s">
        <v>17</v>
      </c>
      <c r="F4">
        <v>35890</v>
      </c>
    </row>
    <row r="5" hidden="1" spans="1:6">
      <c r="A5" t="s">
        <v>138</v>
      </c>
      <c r="B5" t="s">
        <v>33</v>
      </c>
      <c r="C5">
        <v>4</v>
      </c>
      <c r="D5" t="s">
        <v>156</v>
      </c>
      <c r="E5" t="s">
        <v>157</v>
      </c>
      <c r="F5">
        <v>44444</v>
      </c>
    </row>
    <row r="6" hidden="1" spans="1:6">
      <c r="A6" t="s">
        <v>154</v>
      </c>
      <c r="B6" t="s">
        <v>13</v>
      </c>
      <c r="C6">
        <v>7</v>
      </c>
      <c r="D6" t="s">
        <v>156</v>
      </c>
      <c r="E6" t="s">
        <v>157</v>
      </c>
      <c r="F6">
        <v>56667</v>
      </c>
    </row>
    <row r="7" spans="1:6">
      <c r="A7" t="s">
        <v>140</v>
      </c>
      <c r="B7" t="s">
        <v>35</v>
      </c>
      <c r="C7">
        <v>2</v>
      </c>
      <c r="D7" t="s">
        <v>155</v>
      </c>
      <c r="E7" t="s">
        <v>17</v>
      </c>
      <c r="F7">
        <v>12589</v>
      </c>
    </row>
    <row r="8" spans="1:6">
      <c r="A8" t="s">
        <v>142</v>
      </c>
      <c r="B8" t="s">
        <v>158</v>
      </c>
      <c r="C8">
        <v>2</v>
      </c>
      <c r="D8" t="s">
        <v>156</v>
      </c>
      <c r="E8" t="s">
        <v>152</v>
      </c>
      <c r="F8">
        <v>90890</v>
      </c>
    </row>
    <row r="9" spans="1:6">
      <c r="A9" t="s">
        <v>159</v>
      </c>
      <c r="B9" t="s">
        <v>5</v>
      </c>
      <c r="C9">
        <v>9</v>
      </c>
      <c r="D9" t="s">
        <v>6</v>
      </c>
      <c r="E9" t="s">
        <v>17</v>
      </c>
      <c r="F9">
        <v>35679</v>
      </c>
    </row>
    <row r="10" spans="1:6">
      <c r="A10" t="s">
        <v>144</v>
      </c>
      <c r="B10" t="s">
        <v>18</v>
      </c>
      <c r="C10">
        <v>8</v>
      </c>
      <c r="D10" t="s">
        <v>155</v>
      </c>
      <c r="E10" t="s">
        <v>17</v>
      </c>
      <c r="F10">
        <v>45623</v>
      </c>
    </row>
    <row r="11" hidden="1" spans="1:6">
      <c r="A11" t="s">
        <v>160</v>
      </c>
      <c r="B11" t="s">
        <v>147</v>
      </c>
      <c r="C11">
        <v>7</v>
      </c>
      <c r="D11" t="s">
        <v>155</v>
      </c>
      <c r="E11" t="s">
        <v>157</v>
      </c>
      <c r="F11">
        <v>90833</v>
      </c>
    </row>
    <row r="12" spans="1:6">
      <c r="A12" t="s">
        <v>161</v>
      </c>
      <c r="B12" t="s">
        <v>162</v>
      </c>
      <c r="C12">
        <v>3</v>
      </c>
      <c r="D12" t="s">
        <v>6</v>
      </c>
      <c r="E12" t="s">
        <v>152</v>
      </c>
      <c r="F12">
        <v>22290</v>
      </c>
    </row>
  </sheetData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L4" sqref="L4:M10"/>
    </sheetView>
  </sheetViews>
  <sheetFormatPr defaultColWidth="8.72727272727273" defaultRowHeight="14.5"/>
  <sheetData>
    <row r="1" spans="1:13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13">
      <c r="A2" t="s">
        <v>46</v>
      </c>
      <c r="B2" t="s">
        <v>153</v>
      </c>
      <c r="C2">
        <v>3</v>
      </c>
      <c r="D2" t="s">
        <v>6</v>
      </c>
      <c r="E2" t="s">
        <v>17</v>
      </c>
      <c r="F2">
        <v>12809</v>
      </c>
    </row>
    <row r="3" spans="1:13">
      <c r="A3" t="s">
        <v>135</v>
      </c>
      <c r="B3" t="s">
        <v>33</v>
      </c>
      <c r="C3">
        <v>8</v>
      </c>
      <c r="D3" t="s">
        <v>6</v>
      </c>
      <c r="E3" t="s">
        <v>19</v>
      </c>
      <c r="F3">
        <v>44444</v>
      </c>
    </row>
    <row r="4" spans="1:13">
      <c r="A4" t="s">
        <v>137</v>
      </c>
      <c r="B4" t="s">
        <v>35</v>
      </c>
      <c r="C4">
        <v>9</v>
      </c>
      <c r="D4" t="s">
        <v>155</v>
      </c>
      <c r="E4" t="s">
        <v>7</v>
      </c>
      <c r="F4">
        <v>12589</v>
      </c>
      <c r="K4" t="s">
        <v>26</v>
      </c>
      <c r="L4" t="s">
        <v>151</v>
      </c>
      <c r="M4" t="s">
        <v>74</v>
      </c>
    </row>
    <row r="5" spans="1:13">
      <c r="A5" t="s">
        <v>138</v>
      </c>
      <c r="B5" t="s">
        <v>13</v>
      </c>
      <c r="C5">
        <v>4</v>
      </c>
      <c r="D5" t="s">
        <v>156</v>
      </c>
      <c r="E5" t="s">
        <v>157</v>
      </c>
      <c r="F5">
        <v>80000</v>
      </c>
      <c r="K5" t="s">
        <v>30</v>
      </c>
      <c r="L5" t="s">
        <v>152</v>
      </c>
      <c r="M5">
        <v>80000</v>
      </c>
    </row>
    <row r="6" spans="1:13">
      <c r="A6" t="s">
        <v>154</v>
      </c>
      <c r="B6" t="s">
        <v>32</v>
      </c>
      <c r="C6">
        <v>7</v>
      </c>
      <c r="D6" t="s">
        <v>156</v>
      </c>
      <c r="E6" t="s">
        <v>152</v>
      </c>
      <c r="F6">
        <v>35890</v>
      </c>
      <c r="K6" t="s">
        <v>153</v>
      </c>
      <c r="L6" t="s">
        <v>164</v>
      </c>
      <c r="M6">
        <v>12809</v>
      </c>
    </row>
    <row r="7" spans="1:13">
      <c r="A7" t="s">
        <v>140</v>
      </c>
      <c r="B7" t="s">
        <v>30</v>
      </c>
      <c r="C7">
        <v>2</v>
      </c>
      <c r="D7" t="s">
        <v>155</v>
      </c>
      <c r="E7" t="s">
        <v>164</v>
      </c>
      <c r="F7">
        <v>56667</v>
      </c>
      <c r="K7" t="s">
        <v>32</v>
      </c>
      <c r="L7" t="s">
        <v>17</v>
      </c>
      <c r="M7">
        <v>35890</v>
      </c>
    </row>
    <row r="8" spans="1:13">
      <c r="K8" t="s">
        <v>33</v>
      </c>
      <c r="L8" t="s">
        <v>157</v>
      </c>
      <c r="M8">
        <v>44444</v>
      </c>
    </row>
    <row r="9" spans="1:13">
      <c r="K9" t="s">
        <v>13</v>
      </c>
      <c r="L9" t="s">
        <v>19</v>
      </c>
      <c r="M9">
        <v>56667</v>
      </c>
    </row>
    <row r="10" spans="1:13">
      <c r="K10" t="s">
        <v>35</v>
      </c>
      <c r="L10" t="s">
        <v>7</v>
      </c>
      <c r="M10">
        <v>12589</v>
      </c>
    </row>
  </sheetData>
  <dataValidations count="3">
    <dataValidation type="list" allowBlank="1" showInputMessage="1" showErrorMessage="1" sqref="B2:B7">
      <formula1>$P$5:$P$11</formula1>
    </dataValidation>
    <dataValidation type="list" allowBlank="1" showInputMessage="1" showErrorMessage="1" sqref="E2:E7">
      <formula1>$Q$5:$Q$11</formula1>
    </dataValidation>
    <dataValidation type="list" allowBlank="1" showInputMessage="1" showErrorMessage="1" sqref="F2:F7">
      <formula1>$R$6:$R$11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2" sqref="D2:E2"/>
    </sheetView>
  </sheetViews>
  <sheetFormatPr defaultColWidth="8.72727272727273" defaultRowHeight="14.5" outlineLevelCol="6"/>
  <cols>
    <col min="6" max="6" width="11.6363636363636"/>
    <col min="7" max="7" width="13"/>
    <col min="8" max="12" width="8.36363636363636"/>
    <col min="13" max="13" width="11.5454545454545"/>
  </cols>
  <sheetData>
    <row r="1" spans="1:7">
      <c r="A1" t="s">
        <v>151</v>
      </c>
      <c r="B1" t="s">
        <v>74</v>
      </c>
    </row>
    <row r="2" spans="1:7">
      <c r="A2" t="s">
        <v>152</v>
      </c>
      <c r="B2">
        <v>80000</v>
      </c>
    </row>
    <row r="3" spans="1:7">
      <c r="A3" t="s">
        <v>164</v>
      </c>
      <c r="B3">
        <v>12809</v>
      </c>
    </row>
    <row r="4" spans="1:7">
      <c r="A4" t="s">
        <v>17</v>
      </c>
      <c r="B4">
        <v>35890</v>
      </c>
    </row>
    <row r="5" spans="1:7">
      <c r="A5" t="s">
        <v>157</v>
      </c>
      <c r="B5">
        <v>44444</v>
      </c>
    </row>
    <row r="6" spans="1:7">
      <c r="A6" t="s">
        <v>19</v>
      </c>
      <c r="B6">
        <v>56667</v>
      </c>
    </row>
    <row r="7" spans="1:7">
      <c r="A7" t="s">
        <v>7</v>
      </c>
      <c r="B7">
        <v>12589</v>
      </c>
      <c r="F7" t="s">
        <v>151</v>
      </c>
      <c r="G7" t="s">
        <v>163</v>
      </c>
    </row>
    <row r="8" spans="1:7">
      <c r="F8" t="s">
        <v>17</v>
      </c>
      <c r="G8" s="3">
        <v>0.148061666921068</v>
      </c>
    </row>
    <row r="9" spans="1:7">
      <c r="F9" t="s">
        <v>7</v>
      </c>
      <c r="G9" s="3">
        <v>0.0519350327352836</v>
      </c>
    </row>
    <row r="10" spans="1:7">
      <c r="F10" t="s">
        <v>164</v>
      </c>
      <c r="G10" s="3">
        <v>0.0528426272385612</v>
      </c>
    </row>
    <row r="11" spans="1:7">
      <c r="F11" t="s">
        <v>19</v>
      </c>
      <c r="G11" s="3">
        <v>0.233775716896522</v>
      </c>
    </row>
    <row r="12" spans="1:7">
      <c r="F12" t="s">
        <v>157</v>
      </c>
      <c r="G12" s="3">
        <v>0.183350591380327</v>
      </c>
    </row>
    <row r="13" spans="1:7">
      <c r="F13" t="s">
        <v>152</v>
      </c>
      <c r="G13" s="3">
        <v>0.330034364828238</v>
      </c>
    </row>
    <row r="14" spans="1:7">
      <c r="F14" t="s">
        <v>165</v>
      </c>
      <c r="G14" s="3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C9"/>
    </sheetView>
  </sheetViews>
  <sheetFormatPr defaultColWidth="8.72727272727273" defaultRowHeight="14.5" outlineLevelCol="6"/>
  <sheetData>
    <row r="1" spans="1:7">
      <c r="A1" s="1" t="s">
        <v>49</v>
      </c>
      <c r="B1" s="1" t="s">
        <v>51</v>
      </c>
      <c r="C1" s="1" t="s">
        <v>52</v>
      </c>
      <c r="D1" s="1"/>
      <c r="E1" s="1"/>
      <c r="F1" s="1"/>
      <c r="G1" s="1"/>
    </row>
    <row r="2" spans="1:7">
      <c r="A2" s="1" t="s">
        <v>54</v>
      </c>
      <c r="B2" s="1">
        <v>567</v>
      </c>
      <c r="C2" s="1">
        <v>5756</v>
      </c>
      <c r="D2" s="1"/>
      <c r="E2" s="1"/>
      <c r="F2" s="1"/>
      <c r="G2" s="1"/>
    </row>
    <row r="3" spans="1:7">
      <c r="A3" s="1" t="s">
        <v>56</v>
      </c>
      <c r="B3" s="1">
        <v>977</v>
      </c>
      <c r="C3" s="1">
        <v>5567</v>
      </c>
      <c r="D3" s="1"/>
      <c r="E3" s="1"/>
      <c r="F3" s="1"/>
      <c r="G3" s="1"/>
    </row>
    <row r="4" spans="1:7">
      <c r="A4" s="1" t="s">
        <v>58</v>
      </c>
      <c r="B4" s="1">
        <v>345</v>
      </c>
      <c r="C4" s="1">
        <v>3322</v>
      </c>
      <c r="D4" s="1"/>
      <c r="E4" s="1"/>
      <c r="F4" s="1"/>
      <c r="G4" s="1"/>
    </row>
    <row r="5" spans="1:7">
      <c r="A5" s="1" t="s">
        <v>61</v>
      </c>
      <c r="B5" s="1">
        <v>874</v>
      </c>
      <c r="C5" s="1">
        <v>9087</v>
      </c>
      <c r="D5" s="1"/>
      <c r="E5" s="1"/>
      <c r="F5" s="1"/>
      <c r="G5" s="1"/>
    </row>
    <row r="6" spans="1:7">
      <c r="A6" s="1" t="s">
        <v>62</v>
      </c>
      <c r="B6" s="1">
        <v>842</v>
      </c>
      <c r="C6" s="1">
        <v>5485</v>
      </c>
      <c r="D6" s="1"/>
      <c r="E6" s="1"/>
      <c r="F6" s="1"/>
      <c r="G6" s="1"/>
    </row>
    <row r="7" spans="1:7">
      <c r="A7" s="1" t="s">
        <v>64</v>
      </c>
      <c r="B7" s="1">
        <v>954</v>
      </c>
      <c r="C7" s="1">
        <v>9867</v>
      </c>
      <c r="D7" s="1"/>
      <c r="E7" s="1"/>
      <c r="F7" s="1"/>
      <c r="G7" s="1"/>
    </row>
    <row r="8" spans="1:7">
      <c r="A8" s="1" t="s">
        <v>45</v>
      </c>
      <c r="B8" s="1">
        <v>260</v>
      </c>
      <c r="C8" s="1">
        <v>7686</v>
      </c>
      <c r="D8" s="1"/>
      <c r="E8" s="1"/>
      <c r="F8" s="1"/>
      <c r="G8" s="1"/>
    </row>
    <row r="9" spans="1:7">
      <c r="A9" s="1" t="s">
        <v>67</v>
      </c>
      <c r="B9" s="1">
        <v>765</v>
      </c>
      <c r="C9" s="1">
        <v>6788</v>
      </c>
      <c r="D9" s="1"/>
      <c r="E9" s="1"/>
      <c r="F9" s="1"/>
      <c r="G9" s="1"/>
    </row>
  </sheetData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C9"/>
    </sheetView>
  </sheetViews>
  <sheetFormatPr defaultColWidth="8.72727272727273" defaultRowHeight="14.5" outlineLevelCol="2"/>
  <sheetData>
    <row r="1" spans="1:3">
      <c r="A1" s="1" t="s">
        <v>49</v>
      </c>
      <c r="B1" s="1" t="s">
        <v>51</v>
      </c>
      <c r="C1" s="1" t="s">
        <v>52</v>
      </c>
    </row>
    <row r="2" spans="1:3">
      <c r="A2" s="1" t="s">
        <v>54</v>
      </c>
      <c r="B2" s="1">
        <v>567</v>
      </c>
      <c r="C2" s="1">
        <v>5756</v>
      </c>
    </row>
    <row r="3" spans="1:3">
      <c r="A3" s="1" t="s">
        <v>56</v>
      </c>
      <c r="B3" s="1">
        <v>977</v>
      </c>
      <c r="C3" s="1">
        <v>5567</v>
      </c>
    </row>
    <row r="4" spans="1:3">
      <c r="A4" s="1" t="s">
        <v>58</v>
      </c>
      <c r="B4" s="1">
        <v>345</v>
      </c>
      <c r="C4" s="1">
        <v>3322</v>
      </c>
    </row>
    <row r="5" spans="1:3">
      <c r="A5" s="1" t="s">
        <v>61</v>
      </c>
      <c r="B5" s="1">
        <v>874</v>
      </c>
      <c r="C5" s="1">
        <v>9087</v>
      </c>
    </row>
    <row r="6" spans="1:3">
      <c r="A6" s="1" t="s">
        <v>62</v>
      </c>
      <c r="B6" s="1">
        <v>842</v>
      </c>
      <c r="C6" s="1">
        <v>5485</v>
      </c>
    </row>
    <row r="7" spans="1:3">
      <c r="A7" s="1" t="s">
        <v>64</v>
      </c>
      <c r="B7" s="1">
        <v>954</v>
      </c>
      <c r="C7" s="1">
        <v>9867</v>
      </c>
    </row>
    <row r="8" spans="1:3">
      <c r="A8" s="1" t="s">
        <v>45</v>
      </c>
      <c r="B8" s="1">
        <v>260</v>
      </c>
      <c r="C8" s="1">
        <v>7686</v>
      </c>
    </row>
    <row r="9" spans="1:3">
      <c r="A9" s="1" t="s">
        <v>67</v>
      </c>
      <c r="B9" s="1">
        <v>765</v>
      </c>
      <c r="C9" s="1">
        <v>6788</v>
      </c>
    </row>
  </sheetData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1" sqref="C11"/>
    </sheetView>
  </sheetViews>
  <sheetFormatPr defaultColWidth="8.72727272727273" defaultRowHeight="14.5" outlineLevelCol="2"/>
  <sheetData>
    <row r="1" spans="1:3">
      <c r="A1" s="1" t="s">
        <v>49</v>
      </c>
      <c r="B1" s="1" t="s">
        <v>51</v>
      </c>
      <c r="C1" s="1" t="s">
        <v>52</v>
      </c>
    </row>
    <row r="2" spans="1:3">
      <c r="A2" s="1" t="s">
        <v>54</v>
      </c>
      <c r="B2" s="1">
        <v>567</v>
      </c>
      <c r="C2" s="1">
        <v>5756</v>
      </c>
    </row>
    <row r="3" spans="1:3">
      <c r="A3" s="1" t="s">
        <v>56</v>
      </c>
      <c r="B3" s="1">
        <v>977</v>
      </c>
      <c r="C3" s="1">
        <v>5567</v>
      </c>
    </row>
    <row r="4" spans="1:3">
      <c r="A4" s="1" t="s">
        <v>58</v>
      </c>
      <c r="B4" s="1">
        <v>345</v>
      </c>
      <c r="C4" s="1">
        <v>3322</v>
      </c>
    </row>
    <row r="5" spans="1:3">
      <c r="A5" s="1" t="s">
        <v>61</v>
      </c>
      <c r="B5" s="1">
        <v>874</v>
      </c>
      <c r="C5" s="1">
        <v>9087</v>
      </c>
    </row>
    <row r="6" spans="1:3">
      <c r="A6" s="1" t="s">
        <v>62</v>
      </c>
      <c r="B6" s="1">
        <v>842</v>
      </c>
      <c r="C6" s="1">
        <v>5485</v>
      </c>
    </row>
    <row r="7" spans="1:3">
      <c r="A7" s="1" t="s">
        <v>64</v>
      </c>
      <c r="B7" s="1">
        <v>954</v>
      </c>
      <c r="C7" s="1">
        <v>9867</v>
      </c>
    </row>
    <row r="8" spans="1:3">
      <c r="A8" s="1" t="s">
        <v>45</v>
      </c>
      <c r="B8" s="1">
        <v>260</v>
      </c>
      <c r="C8" s="1">
        <v>7686</v>
      </c>
    </row>
    <row r="9" spans="1:3">
      <c r="A9" s="1" t="s">
        <v>67</v>
      </c>
      <c r="B9" s="1">
        <v>765</v>
      </c>
      <c r="C9" s="1">
        <v>6788</v>
      </c>
    </row>
    <row r="11" spans="1:3">
      <c r="C11" s="2"/>
    </row>
  </sheetData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6" sqref="G6"/>
    </sheetView>
  </sheetViews>
  <sheetFormatPr defaultColWidth="8.72727272727273" defaultRowHeight="14.5" outlineLevelRow="7" outlineLevelCol="4"/>
  <sheetData>
    <row r="1" spans="1:5">
      <c r="A1" t="s">
        <v>0</v>
      </c>
      <c r="B1" t="s">
        <v>1</v>
      </c>
      <c r="C1" t="s">
        <v>2</v>
      </c>
      <c r="D1" t="s">
        <v>9</v>
      </c>
      <c r="E1" t="s">
        <v>4</v>
      </c>
    </row>
    <row r="2" spans="1:5">
      <c r="A2" t="s">
        <v>5</v>
      </c>
      <c r="B2" t="s">
        <v>6</v>
      </c>
      <c r="C2">
        <v>15</v>
      </c>
      <c r="D2">
        <v>50000</v>
      </c>
      <c r="E2" t="s">
        <v>7</v>
      </c>
    </row>
    <row r="3" spans="1:5">
      <c r="A3" t="s">
        <v>10</v>
      </c>
      <c r="B3" t="s">
        <v>6</v>
      </c>
      <c r="C3">
        <v>5</v>
      </c>
      <c r="D3">
        <v>20000</v>
      </c>
      <c r="E3" t="s">
        <v>11</v>
      </c>
    </row>
    <row r="4" spans="1:5">
      <c r="A4" t="s">
        <v>13</v>
      </c>
      <c r="B4" t="s">
        <v>14</v>
      </c>
      <c r="C4">
        <v>2</v>
      </c>
      <c r="D4">
        <v>1900</v>
      </c>
      <c r="E4" t="s">
        <v>15</v>
      </c>
    </row>
    <row r="5" spans="1:5">
      <c r="A5" t="s">
        <v>12</v>
      </c>
      <c r="B5" t="s">
        <v>16</v>
      </c>
      <c r="C5">
        <v>1</v>
      </c>
      <c r="D5">
        <v>4000</v>
      </c>
      <c r="E5" t="s">
        <v>17</v>
      </c>
    </row>
    <row r="6" spans="1:5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5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5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abSelected="1" workbookViewId="0">
      <selection activeCell="H3" sqref="H3"/>
    </sheetView>
  </sheetViews>
  <sheetFormatPr defaultColWidth="8.72727272727273" defaultRowHeight="14.5"/>
  <sheetData>
    <row r="1" spans="1:17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7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</row>
    <row r="3" spans="1:17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</row>
    <row r="4" spans="1:17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</row>
    <row r="5" spans="1:17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</row>
    <row r="6" spans="1:17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</row>
    <row r="7" spans="1:17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  <c r="K7" s="1"/>
      <c r="L7" s="1"/>
      <c r="M7" s="1"/>
      <c r="N7" s="1"/>
      <c r="O7" s="1"/>
      <c r="P7" s="1"/>
      <c r="Q7" s="1"/>
    </row>
    <row r="8" spans="1:17">
      <c r="A8">
        <v>106</v>
      </c>
      <c r="B8" t="s">
        <v>34</v>
      </c>
      <c r="C8" t="s">
        <v>35</v>
      </c>
      <c r="D8">
        <v>878</v>
      </c>
      <c r="E8">
        <v>6</v>
      </c>
      <c r="F8">
        <v>18900</v>
      </c>
      <c r="K8" s="1"/>
      <c r="L8" s="1"/>
      <c r="M8" s="1"/>
      <c r="N8" s="1"/>
      <c r="O8" s="1"/>
      <c r="P8" s="1"/>
      <c r="Q8" s="1"/>
    </row>
    <row r="9" spans="1:17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  <c r="K9" s="1"/>
      <c r="L9" s="1"/>
      <c r="M9" s="1"/>
      <c r="N9" s="1"/>
      <c r="O9" s="1"/>
      <c r="P9" s="1"/>
      <c r="Q9" s="1"/>
    </row>
    <row r="10" spans="1:17">
      <c r="A10">
        <v>108</v>
      </c>
      <c r="B10" t="s">
        <v>31</v>
      </c>
      <c r="C10" t="s">
        <v>30</v>
      </c>
      <c r="D10">
        <v>124</v>
      </c>
      <c r="E10">
        <v>8</v>
      </c>
      <c r="F10">
        <v>6321</v>
      </c>
      <c r="K10" s="1"/>
      <c r="L10" s="1"/>
      <c r="M10" s="1"/>
      <c r="N10" s="1"/>
      <c r="O10" s="1"/>
      <c r="P10" s="1"/>
      <c r="Q10" s="1"/>
    </row>
    <row r="11" spans="1:17">
      <c r="K11" s="1"/>
      <c r="L11" s="1"/>
      <c r="M11" s="1"/>
      <c r="N11" s="1"/>
      <c r="O11" s="1"/>
      <c r="P11" s="1"/>
      <c r="Q11" s="1"/>
    </row>
    <row r="12" spans="1:17">
      <c r="K12" s="1"/>
      <c r="L12" s="1"/>
      <c r="M12" s="1"/>
      <c r="N12" s="1"/>
      <c r="O12" s="1"/>
      <c r="P12" s="1"/>
      <c r="Q12" s="1"/>
    </row>
    <row r="13" spans="1:17">
      <c r="K13" s="1"/>
      <c r="L13" s="1"/>
      <c r="M13" s="1"/>
      <c r="N13" s="1"/>
      <c r="O13" s="1"/>
      <c r="P13" s="1"/>
      <c r="Q13" s="1"/>
    </row>
    <row r="14" spans="1:17">
      <c r="K14" s="1"/>
      <c r="L14" s="1"/>
      <c r="M14" s="1"/>
      <c r="N14" s="1"/>
      <c r="O14" s="1"/>
      <c r="P14" s="1"/>
      <c r="Q14" s="1"/>
    </row>
    <row r="15" spans="1:17">
      <c r="K15" s="1"/>
      <c r="L15" s="1"/>
      <c r="M15" s="1"/>
      <c r="N15" s="1"/>
      <c r="O15" s="1"/>
      <c r="P15" s="1"/>
      <c r="Q15" s="1"/>
    </row>
  </sheetData>
  <conditionalFormatting sqref="J4">
    <cfRule type="colorScale" priority="51">
      <colorScale>
        <cfvo type="min"/>
        <cfvo type="max"/>
        <color rgb="FFFF7128"/>
        <color rgb="FFFFEF9C"/>
      </colorScale>
    </cfRule>
  </conditionalFormatting>
  <conditionalFormatting sqref="A2:A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">
    <cfRule type="aboveAverage" dxfId="0" priority="14"/>
    <cfRule type="containsText" dxfId="1" priority="10" operator="between" text="Samsung">
      <formula>NOT(ISERROR(SEARCH("Samsung",B2)))</formula>
    </cfRule>
  </conditionalFormatting>
  <conditionalFormatting sqref="C2:C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{bf73d7ea-7056-4ca7-b8b7-e3f8b4207764}</x14:id>
        </ext>
      </extLst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F7128"/>
        <color rgb="FFFFEF9C"/>
      </colorScale>
    </cfRule>
    <cfRule type="containsText" dxfId="2" priority="3" operator="between" text="Monitor">
      <formula>NOT(ISERROR(SEARCH("Monitor",C2)))</formula>
    </cfRule>
    <cfRule type="containsText" dxfId="3" priority="2" operator="between" text="Monitor">
      <formula>NOT(ISERROR(SEARCH("Monitor",C2)))</formula>
    </cfRule>
  </conditionalFormatting>
  <conditionalFormatting sqref="D2:D10">
    <cfRule type="aboveAverage" dxfId="4" priority="11"/>
  </conditionalFormatting>
  <conditionalFormatting sqref="E2:E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{a524d10f-3820-4ec7-8304-8d0cc548a239}</x14:id>
        </ext>
      </extLst>
    </cfRule>
  </conditionalFormatting>
  <conditionalFormatting sqref="F2:F10">
    <cfRule type="cellIs" dxfId="5" priority="15" operator="greaterThan">
      <formula>18900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73d7ea-7056-4ca7-b8b7-e3f8b42077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a524d10f-3820-4ec7-8304-8d0cc548a2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VLOOKUP_data</vt:lpstr>
      <vt:lpstr>HLOOKUP_data</vt:lpstr>
      <vt:lpstr>XLOOKUP_data</vt:lpstr>
      <vt:lpstr>INDEX_MATCH_data</vt:lpstr>
      <vt:lpstr>IF_data</vt:lpstr>
      <vt:lpstr>SUMIF-data</vt:lpstr>
      <vt:lpstr>SUMIFS_data</vt:lpstr>
      <vt:lpstr>COUNTIF_data</vt:lpstr>
      <vt:lpstr>COUNTIFS_data</vt:lpstr>
      <vt:lpstr>AVERAGEIF_data</vt:lpstr>
      <vt:lpstr>AVERAGEIFS_data</vt:lpstr>
      <vt:lpstr>FILTER_data</vt:lpstr>
      <vt:lpstr>TRIM_data</vt:lpstr>
      <vt:lpstr>UPPER_LOWER_PROPER_data</vt:lpstr>
      <vt:lpstr>AND_data</vt:lpstr>
      <vt:lpstr>OR_data</vt:lpstr>
      <vt:lpstr>NOW_TODAY_DAY_MONTH_YEAR_data</vt:lpstr>
      <vt:lpstr>REMOVE_DUBLICATES_data</vt:lpstr>
      <vt:lpstr>TEXT_TO_COLUMNS_data</vt:lpstr>
      <vt:lpstr>FLASH_FILL_data</vt:lpstr>
      <vt:lpstr>UNIQUE_FILTER_data</vt:lpstr>
      <vt:lpstr>PIVOT_TABLE_data</vt:lpstr>
      <vt:lpstr>GROUPING_data</vt:lpstr>
      <vt:lpstr>SLICER_data</vt:lpstr>
      <vt:lpstr>DRAG_AND_DROP_data</vt:lpstr>
      <vt:lpstr>SHOW_VALUES_data</vt:lpstr>
      <vt:lpstr>COLUMN_AND_PIE_CHART_data</vt:lpstr>
      <vt:lpstr>LINE_AND_BAR_CHART</vt:lpstr>
      <vt:lpstr>SCATTER_AND_CAMBO_CHART_data</vt:lpstr>
      <vt:lpstr>Sheet1</vt:lpstr>
      <vt:lpstr>CONDITIONAL_FORMATING_data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2026-06-15T03:14:00Z</dcterms:created>
  <dcterms:modified xsi:type="dcterms:W3CDTF">2026-06-27T16:26:05Z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7280FAC7F3FD423C98790AF4F2E4A5DB_13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